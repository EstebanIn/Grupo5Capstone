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tand\Downloads\"/>
    </mc:Choice>
  </mc:AlternateContent>
  <xr:revisionPtr revIDLastSave="0" documentId="13_ncr:1_{E76F7A56-5A7C-4200-AB15-3F196480CF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Schedule" sheetId="1" r:id="rId1"/>
    <sheet name="Trazabilidad Backlog" sheetId="2" r:id="rId2"/>
  </sheets>
  <definedNames>
    <definedName name="hoy" localSheetId="0">TODAY()</definedName>
    <definedName name="Inicio_del_proyecto">ProjectSchedule!$C$3</definedName>
    <definedName name="Semana_para_mostrar">ProjectSchedule!$C$4</definedName>
    <definedName name="task_end" localSheetId="0">ProjectSchedule!$D$1</definedName>
    <definedName name="task_progress" localSheetId="0">ProjectSchedule!$B$1</definedName>
    <definedName name="task_start" localSheetId="0">ProjectSchedule!$C$1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1" l="1"/>
  <c r="F47" i="1"/>
  <c r="F46" i="1"/>
  <c r="F45" i="1"/>
  <c r="C44" i="1"/>
  <c r="F44" i="1" s="1"/>
  <c r="C43" i="1"/>
  <c r="F43" i="1" s="1"/>
  <c r="F42" i="1"/>
  <c r="C42" i="1"/>
  <c r="C41" i="1"/>
  <c r="F41" i="1" s="1"/>
  <c r="F40" i="1"/>
  <c r="F39" i="1"/>
  <c r="C38" i="1"/>
  <c r="F38" i="1" s="1"/>
  <c r="F37" i="1"/>
  <c r="C37" i="1"/>
  <c r="F36" i="1"/>
  <c r="C36" i="1"/>
  <c r="C35" i="1"/>
  <c r="F35" i="1" s="1"/>
  <c r="F34" i="1"/>
  <c r="F33" i="1"/>
  <c r="C32" i="1"/>
  <c r="F32" i="1" s="1"/>
  <c r="C31" i="1"/>
  <c r="F31" i="1" s="1"/>
  <c r="C30" i="1"/>
  <c r="F30" i="1" s="1"/>
  <c r="C29" i="1"/>
  <c r="F29" i="1" s="1"/>
  <c r="F28" i="1"/>
  <c r="F27" i="1"/>
  <c r="F26" i="1"/>
  <c r="C26" i="1"/>
  <c r="C23" i="1"/>
  <c r="F22" i="1"/>
  <c r="F21" i="1"/>
  <c r="C20" i="1"/>
  <c r="F20" i="1" s="1"/>
  <c r="F19" i="1"/>
  <c r="C19" i="1"/>
  <c r="F18" i="1"/>
  <c r="C18" i="1"/>
  <c r="C17" i="1"/>
  <c r="F17" i="1" s="1"/>
  <c r="F16" i="1"/>
  <c r="F15" i="1"/>
  <c r="F14" i="1"/>
  <c r="C11" i="1"/>
  <c r="D11" i="1" s="1"/>
  <c r="C12" i="1" s="1"/>
  <c r="D10" i="1"/>
  <c r="F10" i="1" s="1"/>
  <c r="D8" i="1"/>
  <c r="F7" i="1"/>
  <c r="EC6" i="1"/>
  <c r="DV6" i="1"/>
  <c r="AT6" i="1"/>
  <c r="AS6" i="1"/>
  <c r="L6" i="1"/>
  <c r="G6" i="1"/>
  <c r="ED5" i="1"/>
  <c r="EE5" i="1" s="1"/>
  <c r="EE6" i="1" s="1"/>
  <c r="DW5" i="1"/>
  <c r="DW6" i="1" s="1"/>
  <c r="AU5" i="1"/>
  <c r="AU6" i="1" s="1"/>
  <c r="N5" i="1"/>
  <c r="N6" i="1" s="1"/>
  <c r="M5" i="1"/>
  <c r="M6" i="1" s="1"/>
  <c r="H5" i="1"/>
  <c r="I5" i="1" s="1"/>
  <c r="DX5" i="1" l="1"/>
  <c r="DX6" i="1" s="1"/>
  <c r="ED6" i="1"/>
  <c r="D23" i="1"/>
  <c r="C24" i="1" s="1"/>
  <c r="D12" i="1"/>
  <c r="C13" i="1" s="1"/>
  <c r="F13" i="1" s="1"/>
  <c r="F12" i="1"/>
  <c r="O5" i="1"/>
  <c r="EF5" i="1"/>
  <c r="C9" i="1"/>
  <c r="F8" i="1"/>
  <c r="AV5" i="1"/>
  <c r="J5" i="1"/>
  <c r="I6" i="1"/>
  <c r="F11" i="1"/>
  <c r="D24" i="1"/>
  <c r="C25" i="1" s="1"/>
  <c r="F25" i="1" s="1"/>
  <c r="H6" i="1"/>
  <c r="DY5" i="1" l="1"/>
  <c r="F23" i="1"/>
  <c r="D9" i="1"/>
  <c r="F9" i="1" s="1"/>
  <c r="DY6" i="1"/>
  <c r="DZ5" i="1"/>
  <c r="EF6" i="1"/>
  <c r="EG5" i="1"/>
  <c r="O6" i="1"/>
  <c r="P5" i="1"/>
  <c r="J6" i="1"/>
  <c r="K5" i="1"/>
  <c r="K6" i="1" s="1"/>
  <c r="AV6" i="1"/>
  <c r="AW5" i="1"/>
  <c r="F24" i="1"/>
  <c r="EG6" i="1" l="1"/>
  <c r="EH5" i="1"/>
  <c r="DZ6" i="1"/>
  <c r="EA5" i="1"/>
  <c r="P6" i="1"/>
  <c r="Q5" i="1"/>
  <c r="AW6" i="1"/>
  <c r="AX5" i="1"/>
  <c r="AX6" i="1" l="1"/>
  <c r="AY5" i="1"/>
  <c r="Q6" i="1"/>
  <c r="R5" i="1"/>
  <c r="EB5" i="1"/>
  <c r="EB6" i="1" s="1"/>
  <c r="EA6" i="1"/>
  <c r="EH6" i="1"/>
  <c r="EI5" i="1"/>
  <c r="EI6" i="1" s="1"/>
  <c r="R6" i="1" l="1"/>
  <c r="S5" i="1"/>
  <c r="AZ5" i="1"/>
  <c r="AY6" i="1"/>
  <c r="BA5" i="1" l="1"/>
  <c r="AZ6" i="1"/>
  <c r="S6" i="1"/>
  <c r="T5" i="1"/>
  <c r="T6" i="1" l="1"/>
  <c r="U5" i="1"/>
  <c r="BB5" i="1"/>
  <c r="BA6" i="1"/>
  <c r="BB6" i="1" l="1"/>
  <c r="BC5" i="1"/>
  <c r="U6" i="1"/>
  <c r="V5" i="1"/>
  <c r="V6" i="1" l="1"/>
  <c r="W5" i="1"/>
  <c r="BC6" i="1"/>
  <c r="BD5" i="1"/>
  <c r="BD6" i="1" l="1"/>
  <c r="BE5" i="1"/>
  <c r="W6" i="1"/>
  <c r="X5" i="1"/>
  <c r="X6" i="1" l="1"/>
  <c r="Y5" i="1"/>
  <c r="BE6" i="1"/>
  <c r="BF5" i="1"/>
  <c r="BF6" i="1" l="1"/>
  <c r="BG5" i="1"/>
  <c r="Y6" i="1"/>
  <c r="Z5" i="1"/>
  <c r="Z6" i="1" l="1"/>
  <c r="AA5" i="1"/>
  <c r="BH5" i="1"/>
  <c r="BG6" i="1"/>
  <c r="BI5" i="1" l="1"/>
  <c r="BH6" i="1"/>
  <c r="AA6" i="1"/>
  <c r="AB5" i="1"/>
  <c r="AB6" i="1" l="1"/>
  <c r="AC5" i="1"/>
  <c r="BJ5" i="1"/>
  <c r="BI6" i="1"/>
  <c r="BK5" i="1" l="1"/>
  <c r="BJ6" i="1"/>
  <c r="AD5" i="1"/>
  <c r="AC6" i="1"/>
  <c r="AE5" i="1" l="1"/>
  <c r="AD6" i="1"/>
  <c r="BK6" i="1"/>
  <c r="BL5" i="1"/>
  <c r="BL6" i="1" l="1"/>
  <c r="BM5" i="1"/>
  <c r="AE6" i="1"/>
  <c r="AF5" i="1"/>
  <c r="AG5" i="1" l="1"/>
  <c r="AF6" i="1"/>
  <c r="BM6" i="1"/>
  <c r="BN5" i="1"/>
  <c r="BN6" i="1" l="1"/>
  <c r="BO5" i="1"/>
  <c r="AG6" i="1"/>
  <c r="AH5" i="1"/>
  <c r="AH6" i="1" l="1"/>
  <c r="AI5" i="1"/>
  <c r="BP5" i="1"/>
  <c r="BO6" i="1"/>
  <c r="BQ5" i="1" l="1"/>
  <c r="BP6" i="1"/>
  <c r="AJ5" i="1"/>
  <c r="AI6" i="1"/>
  <c r="AK5" i="1" l="1"/>
  <c r="AJ6" i="1"/>
  <c r="BQ6" i="1"/>
  <c r="BR5" i="1"/>
  <c r="BR6" i="1" l="1"/>
  <c r="BS5" i="1"/>
  <c r="AL5" i="1"/>
  <c r="AK6" i="1"/>
  <c r="AL6" i="1" l="1"/>
  <c r="AM5" i="1"/>
  <c r="BS6" i="1"/>
  <c r="BT5" i="1"/>
  <c r="BT6" i="1" l="1"/>
  <c r="BU5" i="1"/>
  <c r="AM6" i="1"/>
  <c r="AN5" i="1"/>
  <c r="AO5" i="1" l="1"/>
  <c r="AN6" i="1"/>
  <c r="BU6" i="1"/>
  <c r="BV5" i="1"/>
  <c r="BV6" i="1" l="1"/>
  <c r="BW5" i="1"/>
  <c r="AO6" i="1"/>
  <c r="AP5" i="1"/>
  <c r="AP6" i="1" l="1"/>
  <c r="AQ5" i="1"/>
  <c r="BX5" i="1"/>
  <c r="BW6" i="1"/>
  <c r="BY5" i="1" l="1"/>
  <c r="BX6" i="1"/>
  <c r="AQ6" i="1"/>
  <c r="AR5" i="1"/>
  <c r="AR6" i="1" s="1"/>
  <c r="BZ5" i="1" l="1"/>
  <c r="BY6" i="1"/>
  <c r="CA5" i="1" l="1"/>
  <c r="BZ6" i="1"/>
  <c r="CA6" i="1" l="1"/>
  <c r="CB5" i="1"/>
  <c r="CB6" i="1" l="1"/>
  <c r="CC5" i="1"/>
  <c r="CC6" i="1" l="1"/>
  <c r="CD5" i="1"/>
  <c r="CD6" i="1" l="1"/>
  <c r="CE5" i="1"/>
  <c r="CF5" i="1" l="1"/>
  <c r="CE6" i="1"/>
  <c r="CG5" i="1" l="1"/>
  <c r="CF6" i="1"/>
  <c r="CG6" i="1" l="1"/>
  <c r="CH5" i="1"/>
  <c r="CH6" i="1" l="1"/>
  <c r="CI5" i="1"/>
  <c r="CI6" i="1" l="1"/>
  <c r="CJ5" i="1"/>
  <c r="CJ6" i="1" l="1"/>
  <c r="CK5" i="1"/>
  <c r="CK6" i="1" l="1"/>
  <c r="CL5" i="1"/>
  <c r="CL6" i="1" l="1"/>
  <c r="CM5" i="1"/>
  <c r="CN5" i="1" l="1"/>
  <c r="CM6" i="1"/>
  <c r="CO5" i="1" l="1"/>
  <c r="CN6" i="1"/>
  <c r="CO6" i="1" l="1"/>
  <c r="CP5" i="1"/>
  <c r="CP6" i="1" l="1"/>
  <c r="CQ5" i="1"/>
  <c r="CQ6" i="1" l="1"/>
  <c r="CR5" i="1"/>
  <c r="CR6" i="1" l="1"/>
  <c r="CS5" i="1"/>
  <c r="CS6" i="1" l="1"/>
  <c r="CT5" i="1"/>
  <c r="CT6" i="1" l="1"/>
  <c r="CU5" i="1"/>
  <c r="CV5" i="1" l="1"/>
  <c r="CU6" i="1"/>
  <c r="CW5" i="1" l="1"/>
  <c r="CV6" i="1"/>
  <c r="CW6" i="1" l="1"/>
  <c r="CX5" i="1"/>
  <c r="CX6" i="1" l="1"/>
  <c r="CY5" i="1"/>
  <c r="CY6" i="1" l="1"/>
  <c r="CZ5" i="1"/>
  <c r="CZ6" i="1" l="1"/>
  <c r="DA5" i="1"/>
  <c r="DA6" i="1" l="1"/>
  <c r="DB5" i="1"/>
  <c r="DB6" i="1" l="1"/>
  <c r="DC5" i="1"/>
  <c r="DD5" i="1" l="1"/>
  <c r="DC6" i="1"/>
  <c r="DE5" i="1" l="1"/>
  <c r="DD6" i="1"/>
  <c r="DE6" i="1" l="1"/>
  <c r="DF5" i="1"/>
  <c r="DG5" i="1" l="1"/>
  <c r="DF6" i="1"/>
  <c r="DG6" i="1" l="1"/>
  <c r="DH5" i="1"/>
  <c r="DH6" i="1" l="1"/>
  <c r="DI5" i="1"/>
  <c r="DI6" i="1" l="1"/>
  <c r="DJ5" i="1"/>
  <c r="DJ6" i="1" l="1"/>
  <c r="DK5" i="1"/>
  <c r="DL5" i="1" l="1"/>
  <c r="DK6" i="1"/>
  <c r="DM5" i="1" l="1"/>
  <c r="DL6" i="1"/>
  <c r="DN5" i="1" l="1"/>
  <c r="DM6" i="1"/>
  <c r="DN6" i="1" l="1"/>
  <c r="DO5" i="1"/>
  <c r="DO6" i="1" l="1"/>
  <c r="DP5" i="1"/>
  <c r="DP6" i="1" l="1"/>
  <c r="DQ5" i="1"/>
  <c r="DQ6" i="1" l="1"/>
  <c r="DR5" i="1"/>
  <c r="DR6" i="1" l="1"/>
  <c r="DS5" i="1"/>
  <c r="DT5" i="1" l="1"/>
  <c r="DS6" i="1"/>
  <c r="DU5" i="1" l="1"/>
  <c r="DU6" i="1" s="1"/>
  <c r="DT6" i="1"/>
</calcChain>
</file>

<file path=xl/sharedStrings.xml><?xml version="1.0" encoding="utf-8"?>
<sst xmlns="http://schemas.openxmlformats.org/spreadsheetml/2006/main" count="165" uniqueCount="114">
  <si>
    <t>InnovaGestor</t>
  </si>
  <si>
    <t>a</t>
  </si>
  <si>
    <t>m</t>
  </si>
  <si>
    <t>j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</si>
  <si>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</si>
  <si>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</si>
  <si>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</si>
  <si>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</si>
  <si>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</si>
  <si>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</si>
  <si>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</si>
  <si>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</si>
  <si>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</si>
  <si>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</si>
  <si>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</si>
  <si>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</si>
  <si>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</si>
  <si>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</si>
  <si>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TAREA</t>
  </si>
  <si>
    <t>PROGRESO</t>
  </si>
  <si>
    <t>INICIO</t>
  </si>
  <si>
    <t>FIN</t>
  </si>
  <si>
    <t>DÍAS</t>
  </si>
  <si>
    <t>SPRINT 0</t>
  </si>
  <si>
    <t>Formalización del proyecto InnovaGestor y alcance IA</t>
  </si>
  <si>
    <t>Levantamiento y validación de requerimientos de agentes IA</t>
  </si>
  <si>
    <t>Definición de historias de usuario del asistente docente y tutor RAG</t>
  </si>
  <si>
    <t>Definición de arquitectura IA, orquestador e integración Django</t>
  </si>
  <si>
    <t>Definición de criterios de calidad y pruebas RAG</t>
  </si>
  <si>
    <t>Planificación y elaboración del cronograma por sprints</t>
  </si>
  <si>
    <t>SPRINT 1</t>
  </si>
  <si>
    <t>Modelado de datos y migración PostgreSQL (HU16)</t>
  </si>
  <si>
    <t>Configuración Docker y entorno Django (HU16)</t>
  </si>
  <si>
    <t>Configuración Django y conexión a PostgreSQL (HU16)</t>
  </si>
  <si>
    <t>Servicios base y contrato técnico de agentes IA</t>
  </si>
  <si>
    <t>Persistencia PostgreSQL y migraciones (HU16)</t>
  </si>
  <si>
    <t>Pruebas y ajustes Sprint 1 (HU16)</t>
  </si>
  <si>
    <t>SPRINT 2</t>
  </si>
  <si>
    <t>Ingesta documental MINEDUC para RAG Curricular (HU01)</t>
  </si>
  <si>
    <t>Embeddings e índice vectorial RAG (HU01)</t>
  </si>
  <si>
    <t>Recuperación semántica y checkpoint RAG (HU01)</t>
  </si>
  <si>
    <t>Validación de fuentes y consultas RAG (HU01)</t>
  </si>
  <si>
    <t>Pruebas y ajustes Sprint 2 (base HU01)</t>
  </si>
  <si>
    <t>SPRINT 3</t>
  </si>
  <si>
    <t>Desarrollo del asistente docente: selección de Objetivo aprendizaje (HU01)</t>
  </si>
  <si>
    <t>Desarrollo del asistente docente: generación de evaluaciones  (HU01)</t>
  </si>
  <si>
    <t>Desarrollo del tutor escolar RAG: consultas académicas ( HU09)</t>
  </si>
  <si>
    <t>SPRINT 4</t>
  </si>
  <si>
    <t>Interfaz docente: evaluaciones y revisión (HU01/HU02)</t>
  </si>
  <si>
    <t>Interfaz copiloto documental y resúmenes (HU09/HU05)</t>
  </si>
  <si>
    <t>Integración servicios RAG y bitácora IA (HU09/HU14)</t>
  </si>
  <si>
    <t>Aprobación, permisos y protección PII (HU02/HU12/HU13)</t>
  </si>
  <si>
    <t>Pruebas y ajustes Sprint 4 (HU05/HU09/HU12)</t>
  </si>
  <si>
    <t>SPRINT 5</t>
  </si>
  <si>
    <t>Pruebas funcionales y seguridad de agentes (HU17)</t>
  </si>
  <si>
    <t>Corrección de incidencias y ajustes RAG (HU17)</t>
  </si>
  <si>
    <t>Precisión de datos, TCI y métricas (HU05/HU15)</t>
  </si>
  <si>
    <t>Documentación técnica y evidencia (HU17)</t>
  </si>
  <si>
    <t>Demo: informes complementarios (HU06/HU07/HU11)</t>
  </si>
  <si>
    <t>Revisión final y cobertura opcional (HU08)</t>
  </si>
  <si>
    <t>Pruebas, aceptación y ajustes Sprint 5 (HU17)</t>
  </si>
  <si>
    <t>Cierre, entrega y presentación el 19/11</t>
  </si>
  <si>
    <t>Inserte nuevas filas ENCIMA de ésta</t>
  </si>
  <si>
    <t>Historia</t>
  </si>
  <si>
    <t>Sprint</t>
  </si>
  <si>
    <t>Prioridad</t>
  </si>
  <si>
    <t>Gantt / Actividad</t>
  </si>
  <si>
    <t>Observación</t>
  </si>
  <si>
    <t>HU12</t>
  </si>
  <si>
    <t>Sprint 4</t>
  </si>
  <si>
    <t>Pendiente</t>
  </si>
  <si>
    <t>Alta</t>
  </si>
  <si>
    <t>Planificada sin evidencia de término</t>
  </si>
  <si>
    <t>HU13</t>
  </si>
  <si>
    <t>37</t>
  </si>
  <si>
    <t>HU16</t>
  </si>
  <si>
    <t>Sprint 1</t>
  </si>
  <si>
    <t>En desarrollo</t>
  </si>
  <si>
    <t>15, 16, 17, 19, 20</t>
  </si>
  <si>
    <t>Avance técnico parcial; falta validar aceptación</t>
  </si>
  <si>
    <t>HU01</t>
  </si>
  <si>
    <t>Sprint 3</t>
  </si>
  <si>
    <t>22, 23, 24, 25, 26, 28, 32, 34</t>
  </si>
  <si>
    <t>HU02</t>
  </si>
  <si>
    <t>34, 37</t>
  </si>
  <si>
    <t>HU03</t>
  </si>
  <si>
    <t>29, 32</t>
  </si>
  <si>
    <t>HU05</t>
  </si>
  <si>
    <t>35, 38, 42</t>
  </si>
  <si>
    <t>HU09</t>
  </si>
  <si>
    <t>30, 35, 36, 38</t>
  </si>
  <si>
    <t>HU14</t>
  </si>
  <si>
    <t>36</t>
  </si>
  <si>
    <t>HU15</t>
  </si>
  <si>
    <t>Sprint 5</t>
  </si>
  <si>
    <t>42</t>
  </si>
  <si>
    <t>HU17</t>
  </si>
  <si>
    <t>40, 41, 43, 46</t>
  </si>
  <si>
    <t>HU07</t>
  </si>
  <si>
    <t>Media</t>
  </si>
  <si>
    <t>44</t>
  </si>
  <si>
    <t>Sujeta a capacidad del equipo</t>
  </si>
  <si>
    <t>HU06</t>
  </si>
  <si>
    <t>HU11</t>
  </si>
  <si>
    <t>HU08</t>
  </si>
  <si>
    <t>Baja</t>
  </si>
  <si>
    <t>45</t>
  </si>
  <si>
    <t>Nota: asignación propuesta, no equivale a cierre de historia. HU04 y HU10 fuera de alcance según backlog.</t>
  </si>
  <si>
    <t>Actualización 13/10/2026: Semana 9 (05–11 oct) orquestador; Semana 10 (12–14 oct) finalización Sprint 3. Cierre 19/11/2026.</t>
  </si>
  <si>
    <t>Orquestador IA: desarrollo, integración y pruebas (HU12)</t>
  </si>
  <si>
    <t>Finalización Sprint 3: revisión, validación y retrospectiva (3 días)</t>
  </si>
  <si>
    <t>TRAZABILIDAD | BACKLOG - SPRINT - GANTT (13/10/2026)</t>
  </si>
  <si>
    <t>Estado referencial</t>
  </si>
  <si>
    <t>31, 37, 38 (orquestador S3 y seguridad S4)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</si>
</sst>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\,\ yyyy\-mm\-dd"/>
    <numFmt numFmtId="165" formatCode="d"/>
    <numFmt numFmtId="166" formatCode="d\-m\-yy"/>
    <numFmt numFmtId="167" formatCode="dd\-mm\-yyyy"/>
  </numFmts>
  <fonts count="19" x14ac:knownFonts="1">
    <font>
      <sz val="11"/>
      <color theme="1"/>
      <name val="Calibri"/>
    </font>
    <font>
      <sz val="11"/>
      <color theme="1"/>
      <name val="Calibri"/>
    </font>
    <font>
      <b/>
      <sz val="22"/>
      <color rgb="FF595959"/>
      <name val="Calibri"/>
    </font>
    <font>
      <sz val="10"/>
      <color theme="1"/>
      <name val="Calibri"/>
    </font>
    <font>
      <b/>
      <sz val="11"/>
      <color theme="1"/>
      <name val="Calibri"/>
    </font>
    <font>
      <sz val="14"/>
      <color theme="1"/>
      <name val="Calibri"/>
    </font>
    <font>
      <sz val="11"/>
      <color theme="1"/>
      <name val="Calibri"/>
    </font>
    <font>
      <sz val="10"/>
      <color theme="1"/>
      <name val="Arial"/>
    </font>
    <font>
      <sz val="11"/>
      <name val="Calibri"/>
    </font>
    <font>
      <sz val="9"/>
      <color theme="1"/>
      <name val="Calibri"/>
    </font>
    <font>
      <b/>
      <sz val="9"/>
      <color theme="0"/>
      <name val="Calibri"/>
    </font>
    <font>
      <sz val="8"/>
      <color theme="0"/>
      <name val="Calibri"/>
    </font>
    <font>
      <i/>
      <sz val="9"/>
      <color theme="1"/>
      <name val="Calibri"/>
    </font>
    <font>
      <sz val="10"/>
      <color rgb="FF7F7F7F"/>
      <name val="Calibri"/>
    </font>
    <font>
      <sz val="11"/>
      <color theme="0"/>
      <name val="Calibri"/>
    </font>
    <font>
      <sz val="11"/>
      <color theme="1"/>
      <name val="Calibri"/>
    </font>
    <font>
      <sz val="9"/>
      <color theme="1"/>
      <name val="Calibri"/>
    </font>
    <font>
      <b/>
      <sz val="15"/>
      <color rgb="FFFFFFFF"/>
      <name val="Calibri"/>
    </font>
    <font>
      <b/>
      <sz val="11"/>
      <color rgb="FFFFFFFF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595959"/>
      </patternFill>
    </fill>
    <fill>
      <patternFill patternType="solid">
        <fgColor rgb="FFB8CCE4"/>
      </patternFill>
    </fill>
    <fill>
      <patternFill patternType="solid">
        <fgColor rgb="FFDBE5F1"/>
      </patternFill>
    </fill>
    <fill>
      <patternFill patternType="solid">
        <fgColor rgb="FFE5B8B7"/>
      </patternFill>
    </fill>
    <fill>
      <patternFill patternType="solid">
        <fgColor rgb="FFF2DBDB"/>
      </patternFill>
    </fill>
    <fill>
      <patternFill patternType="solid">
        <fgColor rgb="FFD6E3BC"/>
      </patternFill>
    </fill>
    <fill>
      <patternFill patternType="solid">
        <fgColor rgb="FFEAF1DD"/>
      </patternFill>
    </fill>
    <fill>
      <patternFill patternType="solid">
        <fgColor rgb="FFCCC0D9"/>
      </patternFill>
    </fill>
    <fill>
      <patternFill patternType="solid">
        <fgColor rgb="FFE5DFEC"/>
      </patternFill>
    </fill>
    <fill>
      <patternFill patternType="solid">
        <fgColor rgb="FFFBD4B4"/>
      </patternFill>
    </fill>
    <fill>
      <patternFill patternType="solid">
        <fgColor rgb="FFFDE9D9"/>
      </patternFill>
    </fill>
    <fill>
      <patternFill patternType="solid">
        <fgColor rgb="FF92CDDC"/>
      </patternFill>
    </fill>
    <fill>
      <patternFill patternType="solid">
        <fgColor rgb="FFDAEEF3"/>
      </patternFill>
    </fill>
    <fill>
      <patternFill patternType="solid">
        <fgColor rgb="FFF2F2F2"/>
      </patternFill>
    </fill>
    <fill>
      <patternFill patternType="solid">
        <fgColor theme="0"/>
      </patternFill>
    </fill>
    <fill>
      <patternFill patternType="solid">
        <fgColor theme="6" tint="-0.249977111117893"/>
        <bgColor indexed="65"/>
      </patternFill>
    </fill>
    <fill>
      <patternFill patternType="solid">
        <fgColor theme="4" tint="-0.249977111117893"/>
        <bgColor indexed="65"/>
      </patternFill>
    </fill>
    <fill>
      <patternFill patternType="solid">
        <fgColor theme="5" tint="-0.249977111117893"/>
        <bgColor indexed="65"/>
      </patternFill>
    </fill>
    <fill>
      <patternFill patternType="solid">
        <fgColor theme="7" tint="-0.249977111117893"/>
        <bgColor indexed="65"/>
      </patternFill>
    </fill>
    <fill>
      <patternFill patternType="solid">
        <fgColor theme="9" tint="-0.249977111117893"/>
        <bgColor indexed="65"/>
      </patternFill>
    </fill>
    <fill>
      <patternFill patternType="solid">
        <fgColor theme="8" tint="-0.249977111117893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rgb="FF153B6C"/>
      </patternFill>
    </fill>
    <fill>
      <patternFill patternType="solid">
        <fgColor rgb="FF0D9488"/>
      </patternFill>
    </fill>
  </fills>
  <borders count="17">
    <border>
      <left/>
      <right/>
      <top/>
      <bottom/>
      <diagonal/>
    </border>
    <border>
      <left/>
      <right style="thin">
        <color rgb="FFA5A5A5"/>
      </right>
      <top/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/>
      <right/>
      <top/>
      <bottom style="thin">
        <color rgb="FFA5A5A5"/>
      </bottom>
      <diagonal/>
    </border>
    <border>
      <left style="thin">
        <color rgb="FFA5A5A5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/>
      <bottom style="medium">
        <color rgb="FFD8D8D8"/>
      </bottom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 style="thin">
        <color rgb="FFD8D8D8"/>
      </left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 style="medium">
        <color rgb="FFD8D8D8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1" xfId="0" applyFont="1" applyBorder="1" applyAlignment="1">
      <alignment horizontal="right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/>
    <xf numFmtId="165" fontId="9" fillId="2" borderId="9" xfId="0" applyNumberFormat="1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left" vertical="center"/>
    </xf>
    <xf numFmtId="0" fontId="10" fillId="3" borderId="11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left" vertical="center"/>
    </xf>
    <xf numFmtId="9" fontId="6" fillId="4" borderId="13" xfId="0" applyNumberFormat="1" applyFont="1" applyFill="1" applyBorder="1" applyAlignment="1">
      <alignment horizontal="center" vertical="center"/>
    </xf>
    <xf numFmtId="166" fontId="6" fillId="4" borderId="13" xfId="0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5" borderId="13" xfId="0" applyFont="1" applyFill="1" applyBorder="1" applyAlignment="1">
      <alignment horizontal="left" vertical="center"/>
    </xf>
    <xf numFmtId="9" fontId="6" fillId="5" borderId="13" xfId="0" applyNumberFormat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right" vertical="center"/>
    </xf>
    <xf numFmtId="0" fontId="4" fillId="6" borderId="13" xfId="0" applyFont="1" applyFill="1" applyBorder="1" applyAlignment="1">
      <alignment horizontal="left" vertical="center"/>
    </xf>
    <xf numFmtId="9" fontId="6" fillId="6" borderId="13" xfId="0" applyNumberFormat="1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left" vertical="center"/>
    </xf>
    <xf numFmtId="9" fontId="6" fillId="7" borderId="13" xfId="0" applyNumberFormat="1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left" vertical="center"/>
    </xf>
    <xf numFmtId="9" fontId="6" fillId="8" borderId="13" xfId="0" applyNumberFormat="1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left" vertical="center"/>
    </xf>
    <xf numFmtId="9" fontId="6" fillId="9" borderId="13" xfId="0" applyNumberFormat="1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left" vertical="center"/>
    </xf>
    <xf numFmtId="9" fontId="6" fillId="10" borderId="13" xfId="0" applyNumberFormat="1" applyFont="1" applyFill="1" applyBorder="1" applyAlignment="1">
      <alignment horizontal="center" vertical="center"/>
    </xf>
    <xf numFmtId="9" fontId="6" fillId="11" borderId="13" xfId="0" applyNumberFormat="1" applyFont="1" applyFill="1" applyBorder="1" applyAlignment="1">
      <alignment horizontal="center" vertical="center"/>
    </xf>
    <xf numFmtId="0" fontId="4" fillId="12" borderId="13" xfId="0" applyFont="1" applyFill="1" applyBorder="1" applyAlignment="1">
      <alignment horizontal="left" vertical="center"/>
    </xf>
    <xf numFmtId="9" fontId="6" fillId="12" borderId="13" xfId="0" applyNumberFormat="1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left" vertical="center"/>
    </xf>
    <xf numFmtId="9" fontId="6" fillId="13" borderId="13" xfId="0" applyNumberFormat="1" applyFont="1" applyFill="1" applyBorder="1" applyAlignment="1">
      <alignment horizontal="center" vertical="center"/>
    </xf>
    <xf numFmtId="0" fontId="4" fillId="14" borderId="13" xfId="0" applyFont="1" applyFill="1" applyBorder="1" applyAlignment="1">
      <alignment horizontal="left" vertical="center"/>
    </xf>
    <xf numFmtId="9" fontId="6" fillId="14" borderId="13" xfId="0" applyNumberFormat="1" applyFont="1" applyFill="1" applyBorder="1" applyAlignment="1">
      <alignment horizontal="center" vertical="center"/>
    </xf>
    <xf numFmtId="0" fontId="6" fillId="15" borderId="13" xfId="0" applyFont="1" applyFill="1" applyBorder="1" applyAlignment="1">
      <alignment horizontal="left" vertical="center"/>
    </xf>
    <xf numFmtId="9" fontId="6" fillId="15" borderId="13" xfId="0" applyNumberFormat="1" applyFont="1" applyFill="1" applyBorder="1" applyAlignment="1">
      <alignment horizontal="center" vertical="center"/>
    </xf>
    <xf numFmtId="0" fontId="12" fillId="16" borderId="13" xfId="0" applyFont="1" applyFill="1" applyBorder="1" applyAlignment="1">
      <alignment horizontal="left" vertical="center"/>
    </xf>
    <xf numFmtId="9" fontId="6" fillId="16" borderId="13" xfId="0" applyNumberFormat="1" applyFont="1" applyFill="1" applyBorder="1" applyAlignment="1">
      <alignment horizontal="center" vertical="center"/>
    </xf>
    <xf numFmtId="166" fontId="13" fillId="16" borderId="13" xfId="0" applyNumberFormat="1" applyFont="1" applyFill="1" applyBorder="1" applyAlignment="1">
      <alignment horizontal="left" vertical="center"/>
    </xf>
    <xf numFmtId="166" fontId="6" fillId="16" borderId="13" xfId="0" applyNumberFormat="1" applyFont="1" applyFill="1" applyBorder="1" applyAlignment="1">
      <alignment horizontal="center" vertical="center"/>
    </xf>
    <xf numFmtId="0" fontId="6" fillId="16" borderId="13" xfId="0" applyFont="1" applyFill="1" applyBorder="1" applyAlignment="1">
      <alignment horizontal="center" vertical="center"/>
    </xf>
    <xf numFmtId="0" fontId="6" fillId="16" borderId="15" xfId="0" applyFont="1" applyFill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14" fillId="0" borderId="0" xfId="0" applyFont="1" applyAlignment="1">
      <alignment horizontal="center"/>
    </xf>
    <xf numFmtId="0" fontId="6" fillId="17" borderId="15" xfId="0" applyFont="1" applyFill="1" applyBorder="1" applyAlignment="1">
      <alignment vertical="center"/>
    </xf>
    <xf numFmtId="0" fontId="6" fillId="18" borderId="15" xfId="0" applyFont="1" applyFill="1" applyBorder="1" applyAlignment="1">
      <alignment vertical="center"/>
    </xf>
    <xf numFmtId="0" fontId="6" fillId="19" borderId="15" xfId="0" applyFont="1" applyFill="1" applyBorder="1" applyAlignment="1">
      <alignment vertical="center"/>
    </xf>
    <xf numFmtId="0" fontId="6" fillId="20" borderId="15" xfId="0" applyFont="1" applyFill="1" applyBorder="1" applyAlignment="1">
      <alignment vertical="center"/>
    </xf>
    <xf numFmtId="0" fontId="1" fillId="0" borderId="0" xfId="0" applyFont="1"/>
    <xf numFmtId="0" fontId="15" fillId="7" borderId="13" xfId="0" applyFont="1" applyFill="1" applyBorder="1" applyAlignment="1">
      <alignment horizontal="left" vertical="center"/>
    </xf>
    <xf numFmtId="0" fontId="15" fillId="15" borderId="13" xfId="0" applyFont="1" applyFill="1" applyBorder="1" applyAlignment="1">
      <alignment horizontal="left" vertical="center"/>
    </xf>
    <xf numFmtId="0" fontId="6" fillId="21" borderId="15" xfId="0" applyFont="1" applyFill="1" applyBorder="1" applyAlignment="1">
      <alignment vertical="center"/>
    </xf>
    <xf numFmtId="0" fontId="6" fillId="22" borderId="15" xfId="0" applyFont="1" applyFill="1" applyBorder="1" applyAlignment="1">
      <alignment vertical="center"/>
    </xf>
    <xf numFmtId="0" fontId="6" fillId="23" borderId="15" xfId="0" applyFont="1" applyFill="1" applyBorder="1" applyAlignment="1">
      <alignment vertical="center"/>
    </xf>
    <xf numFmtId="0" fontId="6" fillId="24" borderId="15" xfId="0" applyFont="1" applyFill="1" applyBorder="1" applyAlignment="1">
      <alignment vertical="center"/>
    </xf>
    <xf numFmtId="0" fontId="0" fillId="17" borderId="0" xfId="0" applyFill="1"/>
    <xf numFmtId="0" fontId="0" fillId="11" borderId="16" xfId="0" applyFill="1" applyBorder="1" applyAlignment="1">
      <alignment horizontal="left" vertical="center"/>
    </xf>
    <xf numFmtId="167" fontId="0" fillId="5" borderId="13" xfId="0" applyNumberFormat="1" applyFill="1" applyBorder="1" applyAlignment="1">
      <alignment horizontal="center" vertical="center"/>
    </xf>
    <xf numFmtId="167" fontId="0" fillId="6" borderId="13" xfId="0" applyNumberFormat="1" applyFill="1" applyBorder="1" applyAlignment="1">
      <alignment horizontal="center" vertical="center"/>
    </xf>
    <xf numFmtId="167" fontId="0" fillId="7" borderId="13" xfId="0" applyNumberFormat="1" applyFill="1" applyBorder="1" applyAlignment="1">
      <alignment horizontal="center" vertical="center"/>
    </xf>
    <xf numFmtId="167" fontId="0" fillId="8" borderId="13" xfId="0" applyNumberFormat="1" applyFill="1" applyBorder="1" applyAlignment="1">
      <alignment horizontal="center" vertical="center"/>
    </xf>
    <xf numFmtId="167" fontId="0" fillId="9" borderId="13" xfId="0" applyNumberFormat="1" applyFill="1" applyBorder="1" applyAlignment="1">
      <alignment horizontal="center" vertical="center"/>
    </xf>
    <xf numFmtId="167" fontId="0" fillId="10" borderId="13" xfId="0" applyNumberFormat="1" applyFill="1" applyBorder="1" applyAlignment="1">
      <alignment horizontal="center" vertical="center"/>
    </xf>
    <xf numFmtId="167" fontId="0" fillId="11" borderId="13" xfId="0" applyNumberFormat="1" applyFill="1" applyBorder="1" applyAlignment="1">
      <alignment horizontal="center" vertical="center"/>
    </xf>
    <xf numFmtId="167" fontId="0" fillId="12" borderId="13" xfId="0" applyNumberFormat="1" applyFill="1" applyBorder="1" applyAlignment="1">
      <alignment horizontal="center" vertical="center"/>
    </xf>
    <xf numFmtId="167" fontId="0" fillId="13" borderId="13" xfId="0" applyNumberFormat="1" applyFill="1" applyBorder="1" applyAlignment="1">
      <alignment horizontal="center" vertical="center"/>
    </xf>
    <xf numFmtId="167" fontId="0" fillId="14" borderId="13" xfId="0" applyNumberFormat="1" applyFill="1" applyBorder="1" applyAlignment="1">
      <alignment horizontal="center" vertical="center"/>
    </xf>
    <xf numFmtId="167" fontId="0" fillId="15" borderId="13" xfId="0" applyNumberFormat="1" applyFill="1" applyBorder="1" applyAlignment="1">
      <alignment horizontal="center" vertical="center"/>
    </xf>
    <xf numFmtId="0" fontId="18" fillId="26" borderId="0" xfId="0" applyFont="1" applyFill="1"/>
    <xf numFmtId="0" fontId="0" fillId="0" borderId="0" xfId="0" applyAlignment="1">
      <alignment wrapText="1"/>
    </xf>
    <xf numFmtId="0" fontId="1" fillId="11" borderId="16" xfId="0" applyFont="1" applyFill="1" applyBorder="1" applyAlignment="1">
      <alignment horizontal="left" vertical="center"/>
    </xf>
    <xf numFmtId="165" fontId="9" fillId="2" borderId="0" xfId="0" applyNumberFormat="1" applyFont="1" applyFill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/>
    </xf>
    <xf numFmtId="0" fontId="8" fillId="0" borderId="3" xfId="0" applyFont="1" applyBorder="1"/>
    <xf numFmtId="0" fontId="8" fillId="0" borderId="6" xfId="0" applyFont="1" applyBorder="1"/>
    <xf numFmtId="0" fontId="8" fillId="0" borderId="7" xfId="0" applyFont="1" applyBorder="1"/>
    <xf numFmtId="0" fontId="16" fillId="2" borderId="5" xfId="0" applyFont="1" applyFill="1" applyBorder="1" applyAlignment="1">
      <alignment horizontal="center" vertical="center" wrapText="1"/>
    </xf>
    <xf numFmtId="0" fontId="17" fillId="25" borderId="0" xfId="0" applyFont="1" applyFill="1"/>
    <xf numFmtId="0" fontId="0" fillId="0" borderId="0" xfId="0"/>
    <xf numFmtId="0" fontId="6" fillId="0" borderId="15" xfId="0" applyFont="1" applyFill="1" applyBorder="1" applyAlignment="1">
      <alignment vertical="center"/>
    </xf>
    <xf numFmtId="0" fontId="6" fillId="0" borderId="15" xfId="0" applyFont="1" applyFill="1" applyBorder="1" applyAlignment="1">
      <alignment horizontal="right" vertical="center"/>
    </xf>
  </cellXfs>
  <cellStyles count="1">
    <cellStyle name="Normal" xfId="0" builtinId="0"/>
  </cellStyles>
  <dxfs count="2">
    <dxf>
      <fill>
        <patternFill>
          <bgColor rgb="FFDDE8F2"/>
        </patternFill>
      </fill>
    </dxf>
    <dxf>
      <fill>
        <patternFill>
          <bgColor rgb="FF2AA8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996"/>
  <sheetViews>
    <sheetView showGridLines="0" tabSelected="1" zoomScale="70" zoomScaleNormal="70" workbookViewId="0">
      <pane ySplit="6" topLeftCell="A22" activePane="bottomLeft" state="frozen"/>
      <selection pane="bottomLeft" activeCell="B30" sqref="B30"/>
    </sheetView>
  </sheetViews>
  <sheetFormatPr baseColWidth="10" defaultColWidth="14.44140625" defaultRowHeight="14.4" x14ac:dyDescent="0.3"/>
  <cols>
    <col min="1" max="1" width="67" customWidth="1"/>
    <col min="2" max="2" width="14.44140625" customWidth="1"/>
    <col min="3" max="4" width="11.21875" customWidth="1"/>
    <col min="5" max="5" width="3.109375" customWidth="1"/>
    <col min="6" max="6" width="11.5546875" customWidth="1"/>
    <col min="7" max="11" width="3.6640625" customWidth="1"/>
    <col min="12" max="12" width="2.77734375" customWidth="1"/>
    <col min="13" max="139" width="3.6640625" customWidth="1"/>
  </cols>
  <sheetData>
    <row r="1" spans="1:139" ht="30" customHeight="1" x14ac:dyDescent="0.55000000000000004">
      <c r="A1" s="1" t="s">
        <v>0</v>
      </c>
      <c r="B1" s="2"/>
      <c r="C1" s="3"/>
      <c r="D1" s="4"/>
      <c r="F1" s="2"/>
      <c r="G1" s="5"/>
    </row>
    <row r="2" spans="1:139" ht="30" customHeight="1" x14ac:dyDescent="0.35">
      <c r="A2" s="6" t="s">
        <v>108</v>
      </c>
      <c r="C2" s="7"/>
      <c r="G2" s="8"/>
    </row>
    <row r="3" spans="1:139" ht="30" customHeight="1" x14ac:dyDescent="0.3">
      <c r="A3" s="9"/>
      <c r="B3" s="10"/>
      <c r="C3" s="89">
        <v>46251</v>
      </c>
      <c r="D3" s="90"/>
      <c r="AS3" s="56" t="s">
        <v>1</v>
      </c>
      <c r="BW3" s="56"/>
      <c r="BX3" s="56" t="s">
        <v>2</v>
      </c>
      <c r="DA3" s="56" t="s">
        <v>3</v>
      </c>
      <c r="EG3" s="56" t="s">
        <v>3</v>
      </c>
    </row>
    <row r="4" spans="1:139" ht="30" customHeight="1" x14ac:dyDescent="0.3">
      <c r="B4" s="10"/>
      <c r="C4" s="11">
        <v>1</v>
      </c>
      <c r="G4" s="84" t="s">
        <v>4</v>
      </c>
      <c r="H4" s="91"/>
      <c r="I4" s="91"/>
      <c r="J4" s="91"/>
      <c r="K4" s="91"/>
      <c r="L4" s="91"/>
      <c r="M4" s="92"/>
      <c r="N4" s="84" t="s">
        <v>5</v>
      </c>
      <c r="O4" s="91"/>
      <c r="P4" s="91"/>
      <c r="Q4" s="91"/>
      <c r="R4" s="91"/>
      <c r="S4" s="91"/>
      <c r="T4" s="92"/>
      <c r="U4" s="84" t="s">
        <v>6</v>
      </c>
      <c r="V4" s="91"/>
      <c r="W4" s="91"/>
      <c r="X4" s="91"/>
      <c r="Y4" s="91"/>
      <c r="Z4" s="91"/>
      <c r="AA4" s="92"/>
      <c r="AB4" s="84" t="s">
        <v>7</v>
      </c>
      <c r="AC4" s="91"/>
      <c r="AD4" s="91"/>
      <c r="AE4" s="91"/>
      <c r="AF4" s="91"/>
      <c r="AG4" s="91"/>
      <c r="AH4" s="92"/>
      <c r="AI4" s="84" t="s">
        <v>8</v>
      </c>
      <c r="AJ4" s="85"/>
      <c r="AK4" s="85"/>
      <c r="AL4" s="85"/>
      <c r="AM4" s="85"/>
      <c r="AN4" s="85"/>
      <c r="AO4" s="86"/>
      <c r="AP4" s="81" t="s">
        <v>9</v>
      </c>
      <c r="AQ4" s="82"/>
      <c r="AR4" s="82"/>
      <c r="AS4" s="82"/>
      <c r="AT4" s="82"/>
      <c r="AU4" s="82"/>
      <c r="AV4" s="82"/>
      <c r="AW4" s="81" t="s">
        <v>10</v>
      </c>
      <c r="AX4" s="82"/>
      <c r="AY4" s="82"/>
      <c r="AZ4" s="82"/>
      <c r="BA4" s="82"/>
      <c r="BB4" s="82"/>
      <c r="BC4" s="82"/>
      <c r="BD4" s="81" t="s">
        <v>11</v>
      </c>
      <c r="BE4" s="82"/>
      <c r="BF4" s="82"/>
      <c r="BG4" s="82"/>
      <c r="BH4" s="82"/>
      <c r="BI4" s="82"/>
      <c r="BJ4" s="83"/>
      <c r="BK4" s="81" t="s">
        <v>12</v>
      </c>
      <c r="BL4" s="82"/>
      <c r="BM4" s="82"/>
      <c r="BN4" s="82"/>
      <c r="BO4" s="82"/>
      <c r="BP4" s="82"/>
      <c r="BQ4" s="83"/>
      <c r="BR4" s="81" t="s">
        <v>13</v>
      </c>
      <c r="BS4" s="82"/>
      <c r="BT4" s="82"/>
      <c r="BU4" s="82"/>
      <c r="BV4" s="82"/>
      <c r="BW4" s="82"/>
      <c r="BX4" s="83"/>
      <c r="BY4" s="81" t="s">
        <v>14</v>
      </c>
      <c r="BZ4" s="82"/>
      <c r="CA4" s="82"/>
      <c r="CB4" s="82"/>
      <c r="CC4" s="82"/>
      <c r="CD4" s="82"/>
      <c r="CE4" s="83"/>
      <c r="CF4" s="81" t="s">
        <v>15</v>
      </c>
      <c r="CG4" s="82"/>
      <c r="CH4" s="82"/>
      <c r="CI4" s="82"/>
      <c r="CJ4" s="82"/>
      <c r="CK4" s="82"/>
      <c r="CL4" s="83"/>
      <c r="CM4" s="87" t="s">
        <v>16</v>
      </c>
      <c r="CN4" s="88"/>
      <c r="CO4" s="88"/>
      <c r="CP4" s="88"/>
      <c r="CQ4" s="88"/>
      <c r="CR4" s="88"/>
      <c r="CS4" s="88"/>
      <c r="CT4" s="81" t="s">
        <v>17</v>
      </c>
      <c r="CU4" s="82"/>
      <c r="CV4" s="82"/>
      <c r="CW4" s="82"/>
      <c r="CX4" s="82"/>
      <c r="CY4" s="82"/>
      <c r="CZ4" s="83"/>
      <c r="DA4" s="81"/>
      <c r="DB4" s="82"/>
      <c r="DC4" s="82"/>
      <c r="DD4" s="82"/>
      <c r="DE4" s="82"/>
      <c r="DF4" s="82"/>
      <c r="DG4" s="83"/>
      <c r="DH4" s="81"/>
      <c r="DI4" s="82"/>
      <c r="DJ4" s="82"/>
      <c r="DK4" s="82"/>
      <c r="DL4" s="82"/>
      <c r="DM4" s="82"/>
      <c r="DN4" s="83"/>
      <c r="DO4" s="81"/>
      <c r="DP4" s="82"/>
      <c r="DQ4" s="82"/>
      <c r="DR4" s="82"/>
      <c r="DS4" s="82"/>
      <c r="DT4" s="82"/>
      <c r="DU4" s="83"/>
      <c r="DV4" s="81"/>
      <c r="DW4" s="82"/>
      <c r="DX4" s="82"/>
      <c r="DY4" s="82"/>
      <c r="DZ4" s="82"/>
      <c r="EA4" s="82"/>
      <c r="EB4" s="83"/>
      <c r="EC4" s="93"/>
      <c r="ED4" s="82"/>
      <c r="EE4" s="82"/>
      <c r="EF4" s="82"/>
      <c r="EG4" s="82"/>
      <c r="EH4" s="82"/>
      <c r="EI4" s="83"/>
    </row>
    <row r="5" spans="1:139" ht="15" customHeight="1" x14ac:dyDescent="0.3">
      <c r="A5" s="12"/>
      <c r="B5" s="12"/>
      <c r="C5" s="12"/>
      <c r="D5" s="12"/>
      <c r="E5" s="12"/>
      <c r="G5" s="13">
        <v>46244</v>
      </c>
      <c r="H5" s="79">
        <f t="shared" ref="H5:EI5" si="0">G5+1</f>
        <v>46245</v>
      </c>
      <c r="I5" s="79">
        <f t="shared" si="0"/>
        <v>46246</v>
      </c>
      <c r="J5" s="79">
        <f t="shared" si="0"/>
        <v>46247</v>
      </c>
      <c r="K5" s="79">
        <f t="shared" si="0"/>
        <v>46248</v>
      </c>
      <c r="L5" s="79">
        <v>46249</v>
      </c>
      <c r="M5" s="13">
        <f t="shared" si="0"/>
        <v>46250</v>
      </c>
      <c r="N5" s="13">
        <f t="shared" si="0"/>
        <v>46251</v>
      </c>
      <c r="O5" s="79">
        <f t="shared" si="0"/>
        <v>46252</v>
      </c>
      <c r="P5" s="79">
        <f t="shared" si="0"/>
        <v>46253</v>
      </c>
      <c r="Q5" s="79">
        <f t="shared" si="0"/>
        <v>46254</v>
      </c>
      <c r="R5" s="79">
        <f t="shared" si="0"/>
        <v>46255</v>
      </c>
      <c r="S5" s="79">
        <f t="shared" si="0"/>
        <v>46256</v>
      </c>
      <c r="T5" s="80">
        <f t="shared" si="0"/>
        <v>46257</v>
      </c>
      <c r="U5" s="13">
        <f t="shared" si="0"/>
        <v>46258</v>
      </c>
      <c r="V5" s="79">
        <f t="shared" si="0"/>
        <v>46259</v>
      </c>
      <c r="W5" s="79">
        <f t="shared" si="0"/>
        <v>46260</v>
      </c>
      <c r="X5" s="79">
        <f t="shared" si="0"/>
        <v>46261</v>
      </c>
      <c r="Y5" s="79">
        <f t="shared" si="0"/>
        <v>46262</v>
      </c>
      <c r="Z5" s="79">
        <f t="shared" si="0"/>
        <v>46263</v>
      </c>
      <c r="AA5" s="80">
        <f t="shared" si="0"/>
        <v>46264</v>
      </c>
      <c r="AB5" s="13">
        <f t="shared" si="0"/>
        <v>46265</v>
      </c>
      <c r="AC5" s="79">
        <f t="shared" si="0"/>
        <v>46266</v>
      </c>
      <c r="AD5" s="79">
        <f t="shared" si="0"/>
        <v>46267</v>
      </c>
      <c r="AE5" s="79">
        <f t="shared" si="0"/>
        <v>46268</v>
      </c>
      <c r="AF5" s="79">
        <f t="shared" si="0"/>
        <v>46269</v>
      </c>
      <c r="AG5" s="79">
        <f t="shared" si="0"/>
        <v>46270</v>
      </c>
      <c r="AH5" s="80">
        <f t="shared" si="0"/>
        <v>46271</v>
      </c>
      <c r="AI5" s="13">
        <f t="shared" si="0"/>
        <v>46272</v>
      </c>
      <c r="AJ5" s="79">
        <f t="shared" si="0"/>
        <v>46273</v>
      </c>
      <c r="AK5" s="79">
        <f t="shared" si="0"/>
        <v>46274</v>
      </c>
      <c r="AL5" s="79">
        <f t="shared" si="0"/>
        <v>46275</v>
      </c>
      <c r="AM5" s="79">
        <f t="shared" si="0"/>
        <v>46276</v>
      </c>
      <c r="AN5" s="79">
        <f t="shared" si="0"/>
        <v>46277</v>
      </c>
      <c r="AO5" s="80">
        <f t="shared" si="0"/>
        <v>46278</v>
      </c>
      <c r="AP5" s="13">
        <f t="shared" si="0"/>
        <v>46279</v>
      </c>
      <c r="AQ5" s="79">
        <f t="shared" si="0"/>
        <v>46280</v>
      </c>
      <c r="AR5" s="79">
        <f t="shared" si="0"/>
        <v>46281</v>
      </c>
      <c r="AS5" s="79">
        <v>46282</v>
      </c>
      <c r="AT5" s="79">
        <v>46283</v>
      </c>
      <c r="AU5" s="79">
        <f t="shared" si="0"/>
        <v>46284</v>
      </c>
      <c r="AV5" s="79">
        <f t="shared" si="0"/>
        <v>46285</v>
      </c>
      <c r="AW5" s="80">
        <f t="shared" si="0"/>
        <v>46286</v>
      </c>
      <c r="AX5" s="13">
        <f t="shared" si="0"/>
        <v>46287</v>
      </c>
      <c r="AY5" s="79">
        <f t="shared" si="0"/>
        <v>46288</v>
      </c>
      <c r="AZ5" s="79">
        <f t="shared" si="0"/>
        <v>46289</v>
      </c>
      <c r="BA5" s="79">
        <f t="shared" si="0"/>
        <v>46290</v>
      </c>
      <c r="BB5" s="79">
        <f t="shared" si="0"/>
        <v>46291</v>
      </c>
      <c r="BC5" s="79">
        <f t="shared" si="0"/>
        <v>46292</v>
      </c>
      <c r="BD5" s="80">
        <f t="shared" si="0"/>
        <v>46293</v>
      </c>
      <c r="BE5" s="13">
        <f t="shared" si="0"/>
        <v>46294</v>
      </c>
      <c r="BF5" s="79">
        <f t="shared" si="0"/>
        <v>46295</v>
      </c>
      <c r="BG5" s="79">
        <f t="shared" si="0"/>
        <v>46296</v>
      </c>
      <c r="BH5" s="79">
        <f t="shared" si="0"/>
        <v>46297</v>
      </c>
      <c r="BI5" s="79">
        <f t="shared" si="0"/>
        <v>46298</v>
      </c>
      <c r="BJ5" s="79">
        <f t="shared" si="0"/>
        <v>46299</v>
      </c>
      <c r="BK5" s="80">
        <f t="shared" si="0"/>
        <v>46300</v>
      </c>
      <c r="BL5" s="13">
        <f t="shared" si="0"/>
        <v>46301</v>
      </c>
      <c r="BM5" s="79">
        <f t="shared" si="0"/>
        <v>46302</v>
      </c>
      <c r="BN5" s="79">
        <f t="shared" si="0"/>
        <v>46303</v>
      </c>
      <c r="BO5" s="79">
        <f t="shared" si="0"/>
        <v>46304</v>
      </c>
      <c r="BP5" s="79">
        <f t="shared" si="0"/>
        <v>46305</v>
      </c>
      <c r="BQ5" s="79">
        <f t="shared" si="0"/>
        <v>46306</v>
      </c>
      <c r="BR5" s="80">
        <f t="shared" si="0"/>
        <v>46307</v>
      </c>
      <c r="BS5" s="13">
        <f t="shared" si="0"/>
        <v>46308</v>
      </c>
      <c r="BT5" s="79">
        <f t="shared" si="0"/>
        <v>46309</v>
      </c>
      <c r="BU5" s="79">
        <f t="shared" si="0"/>
        <v>46310</v>
      </c>
      <c r="BV5" s="79">
        <f t="shared" si="0"/>
        <v>46311</v>
      </c>
      <c r="BW5" s="79">
        <f t="shared" si="0"/>
        <v>46312</v>
      </c>
      <c r="BX5" s="79">
        <f t="shared" si="0"/>
        <v>46313</v>
      </c>
      <c r="BY5" s="80">
        <f t="shared" si="0"/>
        <v>46314</v>
      </c>
      <c r="BZ5" s="13">
        <f t="shared" si="0"/>
        <v>46315</v>
      </c>
      <c r="CA5" s="79">
        <f t="shared" si="0"/>
        <v>46316</v>
      </c>
      <c r="CB5" s="79">
        <f t="shared" si="0"/>
        <v>46317</v>
      </c>
      <c r="CC5" s="79">
        <f t="shared" si="0"/>
        <v>46318</v>
      </c>
      <c r="CD5" s="79">
        <f t="shared" si="0"/>
        <v>46319</v>
      </c>
      <c r="CE5" s="79">
        <f t="shared" si="0"/>
        <v>46320</v>
      </c>
      <c r="CF5" s="80">
        <f t="shared" si="0"/>
        <v>46321</v>
      </c>
      <c r="CG5" s="13">
        <f t="shared" si="0"/>
        <v>46322</v>
      </c>
      <c r="CH5" s="79">
        <f t="shared" si="0"/>
        <v>46323</v>
      </c>
      <c r="CI5" s="79">
        <f t="shared" si="0"/>
        <v>46324</v>
      </c>
      <c r="CJ5" s="79">
        <f t="shared" si="0"/>
        <v>46325</v>
      </c>
      <c r="CK5" s="79">
        <f t="shared" si="0"/>
        <v>46326</v>
      </c>
      <c r="CL5" s="79">
        <f t="shared" si="0"/>
        <v>46327</v>
      </c>
      <c r="CM5" s="80">
        <f t="shared" si="0"/>
        <v>46328</v>
      </c>
      <c r="CN5" s="13">
        <f t="shared" si="0"/>
        <v>46329</v>
      </c>
      <c r="CO5" s="79">
        <f t="shared" si="0"/>
        <v>46330</v>
      </c>
      <c r="CP5" s="79">
        <f t="shared" si="0"/>
        <v>46331</v>
      </c>
      <c r="CQ5" s="79">
        <f t="shared" si="0"/>
        <v>46332</v>
      </c>
      <c r="CR5" s="79">
        <f t="shared" si="0"/>
        <v>46333</v>
      </c>
      <c r="CS5" s="79">
        <f t="shared" si="0"/>
        <v>46334</v>
      </c>
      <c r="CT5" s="80">
        <f t="shared" si="0"/>
        <v>46335</v>
      </c>
      <c r="CU5" s="13">
        <f t="shared" si="0"/>
        <v>46336</v>
      </c>
      <c r="CV5" s="79">
        <f t="shared" si="0"/>
        <v>46337</v>
      </c>
      <c r="CW5" s="79">
        <f t="shared" si="0"/>
        <v>46338</v>
      </c>
      <c r="CX5" s="79">
        <f t="shared" si="0"/>
        <v>46339</v>
      </c>
      <c r="CY5" s="79">
        <f t="shared" si="0"/>
        <v>46340</v>
      </c>
      <c r="CZ5" s="79">
        <f t="shared" si="0"/>
        <v>46341</v>
      </c>
      <c r="DA5" s="80">
        <f t="shared" si="0"/>
        <v>46342</v>
      </c>
      <c r="DB5" s="13">
        <f t="shared" si="0"/>
        <v>46343</v>
      </c>
      <c r="DC5" s="79">
        <f t="shared" si="0"/>
        <v>46344</v>
      </c>
      <c r="DD5" s="79">
        <f t="shared" si="0"/>
        <v>46345</v>
      </c>
      <c r="DE5" s="79">
        <f t="shared" si="0"/>
        <v>46346</v>
      </c>
      <c r="DF5" s="79">
        <f t="shared" si="0"/>
        <v>46347</v>
      </c>
      <c r="DG5" s="79">
        <f t="shared" si="0"/>
        <v>46348</v>
      </c>
      <c r="DH5" s="80">
        <f t="shared" si="0"/>
        <v>46349</v>
      </c>
      <c r="DI5" s="13">
        <f t="shared" si="0"/>
        <v>46350</v>
      </c>
      <c r="DJ5" s="79">
        <f t="shared" si="0"/>
        <v>46351</v>
      </c>
      <c r="DK5" s="79">
        <f t="shared" si="0"/>
        <v>46352</v>
      </c>
      <c r="DL5" s="79">
        <f t="shared" si="0"/>
        <v>46353</v>
      </c>
      <c r="DM5" s="79">
        <f t="shared" si="0"/>
        <v>46354</v>
      </c>
      <c r="DN5" s="79">
        <f t="shared" si="0"/>
        <v>46355</v>
      </c>
      <c r="DO5" s="80">
        <f t="shared" si="0"/>
        <v>46356</v>
      </c>
      <c r="DP5" s="13">
        <f t="shared" si="0"/>
        <v>46357</v>
      </c>
      <c r="DQ5" s="79">
        <f t="shared" si="0"/>
        <v>46358</v>
      </c>
      <c r="DR5" s="79">
        <f t="shared" si="0"/>
        <v>46359</v>
      </c>
      <c r="DS5" s="79">
        <f t="shared" si="0"/>
        <v>46360</v>
      </c>
      <c r="DT5" s="79">
        <f t="shared" si="0"/>
        <v>46361</v>
      </c>
      <c r="DU5" s="79">
        <f t="shared" si="0"/>
        <v>46362</v>
      </c>
      <c r="DV5" s="80">
        <v>46363</v>
      </c>
      <c r="DW5" s="13">
        <f t="shared" ref="DW5" si="1">DV5+1</f>
        <v>46364</v>
      </c>
      <c r="DX5" s="79">
        <f t="shared" ref="DX5" si="2">DW5+1</f>
        <v>46365</v>
      </c>
      <c r="DY5" s="79">
        <f t="shared" ref="DY5" si="3">DX5+1</f>
        <v>46366</v>
      </c>
      <c r="DZ5" s="79">
        <f t="shared" ref="DZ5" si="4">DY5+1</f>
        <v>46367</v>
      </c>
      <c r="EA5" s="79">
        <f t="shared" ref="EA5" si="5">DZ5+1</f>
        <v>46368</v>
      </c>
      <c r="EB5" s="79">
        <f t="shared" ref="EB5" si="6">EA5+1</f>
        <v>46369</v>
      </c>
      <c r="EC5" s="80">
        <v>46370</v>
      </c>
      <c r="ED5" s="13">
        <f t="shared" si="0"/>
        <v>46371</v>
      </c>
      <c r="EE5" s="79">
        <f t="shared" si="0"/>
        <v>46372</v>
      </c>
      <c r="EF5" s="79">
        <f t="shared" si="0"/>
        <v>46373</v>
      </c>
      <c r="EG5" s="79">
        <f t="shared" si="0"/>
        <v>46374</v>
      </c>
      <c r="EH5" s="79">
        <f t="shared" si="0"/>
        <v>46375</v>
      </c>
      <c r="EI5" s="79">
        <f t="shared" si="0"/>
        <v>46376</v>
      </c>
    </row>
    <row r="6" spans="1:139" ht="30" customHeight="1" x14ac:dyDescent="0.3">
      <c r="A6" s="14" t="s">
        <v>18</v>
      </c>
      <c r="B6" s="15" t="s">
        <v>19</v>
      </c>
      <c r="C6" s="15" t="s">
        <v>20</v>
      </c>
      <c r="D6" s="15" t="s">
        <v>21</v>
      </c>
      <c r="E6" s="15"/>
      <c r="F6" s="15" t="s">
        <v>22</v>
      </c>
      <c r="G6" s="16" t="str">
        <f t="shared" ref="G6:EI6" si="7">LEFT(TEXT(G5,"ddd"),1)</f>
        <v>l</v>
      </c>
      <c r="H6" s="16" t="str">
        <f t="shared" si="7"/>
        <v>m</v>
      </c>
      <c r="I6" s="16" t="str">
        <f t="shared" si="7"/>
        <v>m</v>
      </c>
      <c r="J6" s="16" t="str">
        <f t="shared" si="7"/>
        <v>j</v>
      </c>
      <c r="K6" s="16" t="str">
        <f t="shared" si="7"/>
        <v>v</v>
      </c>
      <c r="L6" s="16" t="str">
        <f t="shared" si="7"/>
        <v>s</v>
      </c>
      <c r="M6" s="16" t="str">
        <f t="shared" si="7"/>
        <v>d</v>
      </c>
      <c r="N6" s="16" t="str">
        <f t="shared" si="7"/>
        <v>l</v>
      </c>
      <c r="O6" s="16" t="str">
        <f t="shared" si="7"/>
        <v>m</v>
      </c>
      <c r="P6" s="16" t="str">
        <f t="shared" si="7"/>
        <v>m</v>
      </c>
      <c r="Q6" s="16" t="str">
        <f t="shared" si="7"/>
        <v>j</v>
      </c>
      <c r="R6" s="16" t="str">
        <f t="shared" si="7"/>
        <v>v</v>
      </c>
      <c r="S6" s="16" t="str">
        <f t="shared" si="7"/>
        <v>s</v>
      </c>
      <c r="T6" s="16" t="str">
        <f t="shared" si="7"/>
        <v>d</v>
      </c>
      <c r="U6" s="16" t="str">
        <f t="shared" si="7"/>
        <v>l</v>
      </c>
      <c r="V6" s="16" t="str">
        <f t="shared" si="7"/>
        <v>m</v>
      </c>
      <c r="W6" s="16" t="str">
        <f t="shared" si="7"/>
        <v>m</v>
      </c>
      <c r="X6" s="16" t="str">
        <f t="shared" si="7"/>
        <v>j</v>
      </c>
      <c r="Y6" s="16" t="str">
        <f t="shared" si="7"/>
        <v>v</v>
      </c>
      <c r="Z6" s="16" t="str">
        <f t="shared" si="7"/>
        <v>s</v>
      </c>
      <c r="AA6" s="16" t="str">
        <f t="shared" si="7"/>
        <v>d</v>
      </c>
      <c r="AB6" s="16" t="str">
        <f t="shared" si="7"/>
        <v>l</v>
      </c>
      <c r="AC6" s="16" t="str">
        <f t="shared" si="7"/>
        <v>m</v>
      </c>
      <c r="AD6" s="16" t="str">
        <f t="shared" si="7"/>
        <v>m</v>
      </c>
      <c r="AE6" s="16" t="str">
        <f t="shared" si="7"/>
        <v>j</v>
      </c>
      <c r="AF6" s="16" t="str">
        <f t="shared" si="7"/>
        <v>v</v>
      </c>
      <c r="AG6" s="16" t="str">
        <f t="shared" si="7"/>
        <v>s</v>
      </c>
      <c r="AH6" s="16" t="str">
        <f t="shared" si="7"/>
        <v>d</v>
      </c>
      <c r="AI6" s="16" t="str">
        <f t="shared" si="7"/>
        <v>l</v>
      </c>
      <c r="AJ6" s="16" t="str">
        <f t="shared" si="7"/>
        <v>m</v>
      </c>
      <c r="AK6" s="16" t="str">
        <f t="shared" si="7"/>
        <v>m</v>
      </c>
      <c r="AL6" s="16" t="str">
        <f t="shared" si="7"/>
        <v>j</v>
      </c>
      <c r="AM6" s="16" t="str">
        <f t="shared" si="7"/>
        <v>v</v>
      </c>
      <c r="AN6" s="16" t="str">
        <f t="shared" si="7"/>
        <v>s</v>
      </c>
      <c r="AO6" s="16" t="str">
        <f t="shared" si="7"/>
        <v>d</v>
      </c>
      <c r="AP6" s="16" t="str">
        <f t="shared" si="7"/>
        <v>l</v>
      </c>
      <c r="AQ6" s="16" t="str">
        <f t="shared" si="7"/>
        <v>m</v>
      </c>
      <c r="AR6" s="16" t="str">
        <f t="shared" si="7"/>
        <v>m</v>
      </c>
      <c r="AS6" s="16" t="str">
        <f t="shared" si="7"/>
        <v>j</v>
      </c>
      <c r="AT6" s="16" t="str">
        <f t="shared" si="7"/>
        <v>v</v>
      </c>
      <c r="AU6" s="16" t="str">
        <f t="shared" si="7"/>
        <v>s</v>
      </c>
      <c r="AV6" s="16" t="str">
        <f t="shared" si="7"/>
        <v>d</v>
      </c>
      <c r="AW6" s="16" t="str">
        <f t="shared" si="7"/>
        <v>l</v>
      </c>
      <c r="AX6" s="16" t="str">
        <f t="shared" si="7"/>
        <v>m</v>
      </c>
      <c r="AY6" s="16" t="str">
        <f t="shared" si="7"/>
        <v>m</v>
      </c>
      <c r="AZ6" s="16" t="str">
        <f t="shared" si="7"/>
        <v>j</v>
      </c>
      <c r="BA6" s="16" t="str">
        <f t="shared" si="7"/>
        <v>v</v>
      </c>
      <c r="BB6" s="16" t="str">
        <f t="shared" si="7"/>
        <v>s</v>
      </c>
      <c r="BC6" s="16" t="str">
        <f t="shared" si="7"/>
        <v>d</v>
      </c>
      <c r="BD6" s="16" t="str">
        <f t="shared" si="7"/>
        <v>l</v>
      </c>
      <c r="BE6" s="16" t="str">
        <f t="shared" si="7"/>
        <v>m</v>
      </c>
      <c r="BF6" s="16" t="str">
        <f t="shared" si="7"/>
        <v>m</v>
      </c>
      <c r="BG6" s="16" t="str">
        <f t="shared" si="7"/>
        <v>j</v>
      </c>
      <c r="BH6" s="16" t="str">
        <f t="shared" si="7"/>
        <v>v</v>
      </c>
      <c r="BI6" s="16" t="str">
        <f t="shared" si="7"/>
        <v>s</v>
      </c>
      <c r="BJ6" s="16" t="str">
        <f t="shared" si="7"/>
        <v>d</v>
      </c>
      <c r="BK6" s="16" t="str">
        <f t="shared" si="7"/>
        <v>l</v>
      </c>
      <c r="BL6" s="16" t="str">
        <f t="shared" si="7"/>
        <v>m</v>
      </c>
      <c r="BM6" s="16" t="str">
        <f t="shared" si="7"/>
        <v>m</v>
      </c>
      <c r="BN6" s="16" t="str">
        <f t="shared" si="7"/>
        <v>j</v>
      </c>
      <c r="BO6" s="16" t="str">
        <f t="shared" si="7"/>
        <v>v</v>
      </c>
      <c r="BP6" s="16" t="str">
        <f t="shared" si="7"/>
        <v>s</v>
      </c>
      <c r="BQ6" s="16" t="str">
        <f t="shared" si="7"/>
        <v>d</v>
      </c>
      <c r="BR6" s="16" t="str">
        <f t="shared" si="7"/>
        <v>l</v>
      </c>
      <c r="BS6" s="16" t="str">
        <f t="shared" si="7"/>
        <v>m</v>
      </c>
      <c r="BT6" s="16" t="str">
        <f t="shared" si="7"/>
        <v>m</v>
      </c>
      <c r="BU6" s="16" t="str">
        <f t="shared" si="7"/>
        <v>j</v>
      </c>
      <c r="BV6" s="16" t="str">
        <f t="shared" si="7"/>
        <v>v</v>
      </c>
      <c r="BW6" s="16" t="str">
        <f t="shared" si="7"/>
        <v>s</v>
      </c>
      <c r="BX6" s="16" t="str">
        <f t="shared" si="7"/>
        <v>d</v>
      </c>
      <c r="BY6" s="16" t="str">
        <f t="shared" si="7"/>
        <v>l</v>
      </c>
      <c r="BZ6" s="16" t="str">
        <f t="shared" si="7"/>
        <v>m</v>
      </c>
      <c r="CA6" s="16" t="str">
        <f t="shared" si="7"/>
        <v>m</v>
      </c>
      <c r="CB6" s="16" t="str">
        <f t="shared" si="7"/>
        <v>j</v>
      </c>
      <c r="CC6" s="16" t="str">
        <f t="shared" si="7"/>
        <v>v</v>
      </c>
      <c r="CD6" s="16" t="str">
        <f t="shared" si="7"/>
        <v>s</v>
      </c>
      <c r="CE6" s="16" t="str">
        <f t="shared" si="7"/>
        <v>d</v>
      </c>
      <c r="CF6" s="16" t="str">
        <f t="shared" si="7"/>
        <v>l</v>
      </c>
      <c r="CG6" s="16" t="str">
        <f t="shared" si="7"/>
        <v>m</v>
      </c>
      <c r="CH6" s="16" t="str">
        <f t="shared" si="7"/>
        <v>m</v>
      </c>
      <c r="CI6" s="16" t="str">
        <f t="shared" si="7"/>
        <v>j</v>
      </c>
      <c r="CJ6" s="16" t="str">
        <f t="shared" si="7"/>
        <v>v</v>
      </c>
      <c r="CK6" s="16" t="str">
        <f t="shared" si="7"/>
        <v>s</v>
      </c>
      <c r="CL6" s="16" t="str">
        <f t="shared" si="7"/>
        <v>d</v>
      </c>
      <c r="CM6" s="16" t="str">
        <f t="shared" si="7"/>
        <v>l</v>
      </c>
      <c r="CN6" s="16" t="str">
        <f t="shared" si="7"/>
        <v>m</v>
      </c>
      <c r="CO6" s="16" t="str">
        <f t="shared" si="7"/>
        <v>m</v>
      </c>
      <c r="CP6" s="16" t="str">
        <f t="shared" si="7"/>
        <v>j</v>
      </c>
      <c r="CQ6" s="16" t="str">
        <f t="shared" si="7"/>
        <v>v</v>
      </c>
      <c r="CR6" s="16" t="str">
        <f t="shared" si="7"/>
        <v>s</v>
      </c>
      <c r="CS6" s="16" t="str">
        <f t="shared" si="7"/>
        <v>d</v>
      </c>
      <c r="CT6" s="16" t="str">
        <f t="shared" si="7"/>
        <v>l</v>
      </c>
      <c r="CU6" s="16" t="str">
        <f t="shared" si="7"/>
        <v>m</v>
      </c>
      <c r="CV6" s="16" t="str">
        <f t="shared" si="7"/>
        <v>m</v>
      </c>
      <c r="CW6" s="16" t="str">
        <f t="shared" si="7"/>
        <v>j</v>
      </c>
      <c r="CX6" s="16" t="str">
        <f t="shared" si="7"/>
        <v>v</v>
      </c>
      <c r="CY6" s="16" t="str">
        <f t="shared" si="7"/>
        <v>s</v>
      </c>
      <c r="CZ6" s="16" t="str">
        <f t="shared" si="7"/>
        <v>d</v>
      </c>
      <c r="DA6" s="16" t="str">
        <f t="shared" si="7"/>
        <v>l</v>
      </c>
      <c r="DB6" s="16" t="str">
        <f t="shared" si="7"/>
        <v>m</v>
      </c>
      <c r="DC6" s="16" t="str">
        <f t="shared" si="7"/>
        <v>m</v>
      </c>
      <c r="DD6" s="16" t="str">
        <f t="shared" si="7"/>
        <v>j</v>
      </c>
      <c r="DE6" s="16" t="str">
        <f t="shared" si="7"/>
        <v>v</v>
      </c>
      <c r="DF6" s="16" t="str">
        <f t="shared" si="7"/>
        <v>s</v>
      </c>
      <c r="DG6" s="16" t="str">
        <f t="shared" si="7"/>
        <v>d</v>
      </c>
      <c r="DH6" s="16" t="str">
        <f t="shared" si="7"/>
        <v>l</v>
      </c>
      <c r="DI6" s="16" t="str">
        <f t="shared" si="7"/>
        <v>m</v>
      </c>
      <c r="DJ6" s="16" t="str">
        <f t="shared" si="7"/>
        <v>m</v>
      </c>
      <c r="DK6" s="16" t="str">
        <f t="shared" si="7"/>
        <v>j</v>
      </c>
      <c r="DL6" s="16" t="str">
        <f t="shared" si="7"/>
        <v>v</v>
      </c>
      <c r="DM6" s="16" t="str">
        <f t="shared" si="7"/>
        <v>s</v>
      </c>
      <c r="DN6" s="16" t="str">
        <f t="shared" si="7"/>
        <v>d</v>
      </c>
      <c r="DO6" s="16" t="str">
        <f t="shared" si="7"/>
        <v>l</v>
      </c>
      <c r="DP6" s="16" t="str">
        <f t="shared" si="7"/>
        <v>m</v>
      </c>
      <c r="DQ6" s="16" t="str">
        <f t="shared" si="7"/>
        <v>m</v>
      </c>
      <c r="DR6" s="16" t="str">
        <f t="shared" si="7"/>
        <v>j</v>
      </c>
      <c r="DS6" s="16" t="str">
        <f t="shared" si="7"/>
        <v>v</v>
      </c>
      <c r="DT6" s="16" t="str">
        <f t="shared" si="7"/>
        <v>s</v>
      </c>
      <c r="DU6" s="16" t="str">
        <f t="shared" si="7"/>
        <v>d</v>
      </c>
      <c r="DV6" s="16" t="str">
        <f t="shared" ref="DV6:EB6" si="8">LEFT(TEXT(DV5,"ddd"),1)</f>
        <v>l</v>
      </c>
      <c r="DW6" s="16" t="str">
        <f t="shared" si="8"/>
        <v>m</v>
      </c>
      <c r="DX6" s="16" t="str">
        <f t="shared" si="8"/>
        <v>m</v>
      </c>
      <c r="DY6" s="16" t="str">
        <f t="shared" si="8"/>
        <v>j</v>
      </c>
      <c r="DZ6" s="16" t="str">
        <f t="shared" si="8"/>
        <v>v</v>
      </c>
      <c r="EA6" s="16" t="str">
        <f t="shared" si="8"/>
        <v>s</v>
      </c>
      <c r="EB6" s="16" t="str">
        <f t="shared" si="8"/>
        <v>d</v>
      </c>
      <c r="EC6" s="16" t="str">
        <f t="shared" si="7"/>
        <v>l</v>
      </c>
      <c r="ED6" s="16" t="str">
        <f t="shared" si="7"/>
        <v>m</v>
      </c>
      <c r="EE6" s="16" t="str">
        <f t="shared" si="7"/>
        <v>m</v>
      </c>
      <c r="EF6" s="16" t="str">
        <f t="shared" si="7"/>
        <v>j</v>
      </c>
      <c r="EG6" s="16" t="str">
        <f t="shared" si="7"/>
        <v>v</v>
      </c>
      <c r="EH6" s="16" t="str">
        <f t="shared" si="7"/>
        <v>s</v>
      </c>
      <c r="EI6" s="16" t="str">
        <f t="shared" si="7"/>
        <v>d</v>
      </c>
    </row>
    <row r="7" spans="1:139" ht="27" customHeight="1" x14ac:dyDescent="0.3">
      <c r="A7" s="17" t="s">
        <v>23</v>
      </c>
      <c r="B7" s="18"/>
      <c r="C7" s="19"/>
      <c r="D7" s="19"/>
      <c r="E7" s="20"/>
      <c r="F7" s="20" t="str">
        <f>IF(OR(ISBLANK(ProjectSchedule!task_start),ISBLANK(ProjectSchedule!task_end)),"",ProjectSchedule!task_end-ProjectSchedule!task_start+1)</f>
        <v/>
      </c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</row>
    <row r="8" spans="1:139" ht="30" customHeight="1" x14ac:dyDescent="0.3">
      <c r="A8" s="22" t="s">
        <v>24</v>
      </c>
      <c r="B8" s="23">
        <v>1</v>
      </c>
      <c r="C8" s="65">
        <v>46251</v>
      </c>
      <c r="D8" s="65">
        <f t="shared" ref="D8:D9" si="9">C8+2</f>
        <v>46253</v>
      </c>
      <c r="E8" s="20"/>
      <c r="F8" s="20">
        <f t="shared" ref="F8:F13" si="10">IF(OR(C8="",D8=""),"",MAX(0,D8-C8+1))</f>
        <v>3</v>
      </c>
      <c r="G8" s="96"/>
      <c r="H8" s="96"/>
      <c r="I8" s="96"/>
      <c r="J8" s="96"/>
      <c r="K8" s="96"/>
      <c r="L8" s="96"/>
      <c r="M8" s="96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</row>
    <row r="9" spans="1:139" ht="30" customHeight="1" x14ac:dyDescent="0.3">
      <c r="A9" s="22" t="s">
        <v>25</v>
      </c>
      <c r="B9" s="23">
        <v>1</v>
      </c>
      <c r="C9" s="65">
        <f t="shared" ref="C9" si="11">D8+1</f>
        <v>46254</v>
      </c>
      <c r="D9" s="65">
        <f t="shared" si="9"/>
        <v>46256</v>
      </c>
      <c r="E9" s="20"/>
      <c r="F9" s="20">
        <f t="shared" si="10"/>
        <v>3</v>
      </c>
      <c r="G9" s="96"/>
      <c r="H9" s="96"/>
      <c r="I9" s="96"/>
      <c r="J9" s="96"/>
      <c r="K9" s="96"/>
      <c r="L9" s="96"/>
      <c r="M9" s="96"/>
      <c r="N9" s="96"/>
      <c r="O9" s="96"/>
      <c r="P9" s="96"/>
      <c r="Q9" s="21"/>
      <c r="R9" s="21"/>
      <c r="S9" s="24"/>
      <c r="T9" s="24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</row>
    <row r="10" spans="1:139" ht="30" customHeight="1" x14ac:dyDescent="0.3">
      <c r="A10" s="22" t="s">
        <v>26</v>
      </c>
      <c r="B10" s="23">
        <v>1</v>
      </c>
      <c r="C10" s="65">
        <v>46255</v>
      </c>
      <c r="D10" s="65">
        <f t="shared" ref="D10" si="12">C10+2</f>
        <v>46257</v>
      </c>
      <c r="E10" s="20"/>
      <c r="F10" s="20">
        <f t="shared" si="10"/>
        <v>3</v>
      </c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</row>
    <row r="11" spans="1:139" ht="30" customHeight="1" x14ac:dyDescent="0.3">
      <c r="A11" s="22" t="s">
        <v>27</v>
      </c>
      <c r="B11" s="23">
        <v>1</v>
      </c>
      <c r="C11" s="65">
        <f t="shared" ref="C11:C13" si="13">D10+1</f>
        <v>46258</v>
      </c>
      <c r="D11" s="65">
        <f t="shared" ref="D11" si="14">C11+2</f>
        <v>46260</v>
      </c>
      <c r="E11" s="20"/>
      <c r="F11" s="20">
        <f t="shared" si="10"/>
        <v>3</v>
      </c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</row>
    <row r="12" spans="1:139" ht="30" customHeight="1" x14ac:dyDescent="0.3">
      <c r="A12" s="22" t="s">
        <v>28</v>
      </c>
      <c r="B12" s="23">
        <v>1</v>
      </c>
      <c r="C12" s="65">
        <f t="shared" si="13"/>
        <v>46261</v>
      </c>
      <c r="D12" s="65">
        <f t="shared" ref="D12" si="15">C12+2</f>
        <v>46263</v>
      </c>
      <c r="E12" s="20"/>
      <c r="F12" s="20">
        <f t="shared" si="10"/>
        <v>3</v>
      </c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7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</row>
    <row r="13" spans="1:139" ht="30" customHeight="1" x14ac:dyDescent="0.3">
      <c r="A13" s="22" t="s">
        <v>29</v>
      </c>
      <c r="B13" s="23">
        <v>1</v>
      </c>
      <c r="C13" s="65">
        <f t="shared" si="13"/>
        <v>46264</v>
      </c>
      <c r="D13" s="65">
        <v>46264</v>
      </c>
      <c r="E13" s="20"/>
      <c r="F13" s="20">
        <f t="shared" si="10"/>
        <v>1</v>
      </c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</row>
    <row r="14" spans="1:139" ht="27" customHeight="1" x14ac:dyDescent="0.3">
      <c r="A14" s="25" t="s">
        <v>30</v>
      </c>
      <c r="B14" s="26"/>
      <c r="C14" s="66"/>
      <c r="D14" s="66"/>
      <c r="E14" s="20"/>
      <c r="F14" s="20" t="str">
        <f>IF(OR(ISBLANK(ProjectSchedule!task_start),ISBLANK(ProjectSchedule!task_end)),"",ProjectSchedule!task_end-ProjectSchedule!task_start+1)</f>
        <v/>
      </c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52"/>
      <c r="Y14" s="52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</row>
    <row r="15" spans="1:139" ht="30" customHeight="1" x14ac:dyDescent="0.3">
      <c r="A15" s="57" t="s">
        <v>31</v>
      </c>
      <c r="B15" s="28">
        <v>1</v>
      </c>
      <c r="C15" s="67">
        <v>46265</v>
      </c>
      <c r="D15" s="67">
        <v>46266</v>
      </c>
      <c r="E15" s="20"/>
      <c r="F15" s="20">
        <f t="shared" ref="F15:F20" si="16">IF(OR(C15="",D15=""),"",MAX(0,D15-C15+1))</f>
        <v>2</v>
      </c>
      <c r="G15" s="21"/>
      <c r="H15" s="21"/>
      <c r="I15" s="21"/>
      <c r="J15" s="21"/>
      <c r="K15" s="21"/>
      <c r="L15" s="21"/>
      <c r="M15" s="96"/>
      <c r="N15" s="96"/>
      <c r="O15" s="96"/>
      <c r="P15" s="96"/>
      <c r="Q15" s="21"/>
      <c r="R15" s="21"/>
      <c r="S15" s="96"/>
      <c r="T15" s="96"/>
      <c r="U15" s="96"/>
      <c r="V15" s="96"/>
      <c r="W15" s="96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</row>
    <row r="16" spans="1:139" ht="30" customHeight="1" x14ac:dyDescent="0.3">
      <c r="A16" s="57" t="s">
        <v>32</v>
      </c>
      <c r="B16" s="28">
        <v>1</v>
      </c>
      <c r="C16" s="67">
        <v>46267</v>
      </c>
      <c r="D16" s="67">
        <v>46268</v>
      </c>
      <c r="E16" s="20"/>
      <c r="F16" s="20">
        <f t="shared" si="16"/>
        <v>2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4"/>
      <c r="T16" s="24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</row>
    <row r="17" spans="1:141" ht="30" customHeight="1" x14ac:dyDescent="0.3">
      <c r="A17" s="57" t="s">
        <v>33</v>
      </c>
      <c r="B17" s="28">
        <v>1</v>
      </c>
      <c r="C17" s="67">
        <f t="shared" ref="C17:C20" si="17">D16+1</f>
        <v>46269</v>
      </c>
      <c r="D17" s="67">
        <v>46270</v>
      </c>
      <c r="E17" s="20"/>
      <c r="F17" s="20">
        <f t="shared" si="16"/>
        <v>2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</row>
    <row r="18" spans="1:141" ht="30" customHeight="1" thickBot="1" x14ac:dyDescent="0.35">
      <c r="A18" s="27" t="s">
        <v>34</v>
      </c>
      <c r="B18" s="28">
        <v>1</v>
      </c>
      <c r="C18" s="67">
        <f t="shared" si="17"/>
        <v>46271</v>
      </c>
      <c r="D18" s="67">
        <v>46273</v>
      </c>
      <c r="E18" s="20"/>
      <c r="F18" s="20">
        <f t="shared" si="16"/>
        <v>3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4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</row>
    <row r="19" spans="1:141" ht="30" customHeight="1" thickBot="1" x14ac:dyDescent="0.35">
      <c r="A19" s="27" t="s">
        <v>35</v>
      </c>
      <c r="B19" s="28">
        <v>1</v>
      </c>
      <c r="C19" s="67">
        <f t="shared" si="17"/>
        <v>46274</v>
      </c>
      <c r="D19" s="67">
        <v>46275</v>
      </c>
      <c r="E19" s="20"/>
      <c r="F19" s="20">
        <f t="shared" si="16"/>
        <v>2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4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</row>
    <row r="20" spans="1:141" ht="30" customHeight="1" thickBot="1" x14ac:dyDescent="0.35">
      <c r="A20" s="27" t="s">
        <v>36</v>
      </c>
      <c r="B20" s="28">
        <v>1</v>
      </c>
      <c r="C20" s="67">
        <f t="shared" si="17"/>
        <v>46276</v>
      </c>
      <c r="D20" s="67">
        <v>46278</v>
      </c>
      <c r="E20" s="20"/>
      <c r="F20" s="20">
        <f t="shared" si="16"/>
        <v>3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4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53"/>
      <c r="AO20" s="53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52"/>
      <c r="BB20" s="52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</row>
    <row r="21" spans="1:141" ht="30" customHeight="1" thickBot="1" x14ac:dyDescent="0.35">
      <c r="A21" s="29" t="s">
        <v>37</v>
      </c>
      <c r="B21" s="30"/>
      <c r="C21" s="68"/>
      <c r="D21" s="68"/>
      <c r="E21" s="20"/>
      <c r="F21" s="20" t="str">
        <f>IF(OR(ISBLANK(ProjectSchedule!task_start),ISBLANK(ProjectSchedule!task_end)),"",ProjectSchedule!task_end-ProjectSchedule!task_start+1)</f>
        <v/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</row>
    <row r="22" spans="1:141" ht="30" customHeight="1" x14ac:dyDescent="0.3">
      <c r="A22" s="31" t="s">
        <v>38</v>
      </c>
      <c r="B22" s="32">
        <v>1</v>
      </c>
      <c r="C22" s="69">
        <v>46279</v>
      </c>
      <c r="D22" s="69">
        <v>46281</v>
      </c>
      <c r="E22" s="20"/>
      <c r="F22" s="20">
        <f>IF(OR(C22="",D22=""),"",MAX(0,D22-C22+1))</f>
        <v>3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</row>
    <row r="23" spans="1:141" ht="30" customHeight="1" x14ac:dyDescent="0.3">
      <c r="A23" s="31" t="s">
        <v>39</v>
      </c>
      <c r="B23" s="32">
        <v>1</v>
      </c>
      <c r="C23" s="69">
        <f t="shared" ref="C23" si="18">D22+1</f>
        <v>46282</v>
      </c>
      <c r="D23" s="69">
        <f t="shared" ref="D23" si="19">C23+2</f>
        <v>46284</v>
      </c>
      <c r="E23" s="20"/>
      <c r="F23" s="20">
        <f>IF(OR(C23="",D23=""),"",MAX(0,D23-C23+1))</f>
        <v>3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</row>
    <row r="24" spans="1:141" ht="30" customHeight="1" x14ac:dyDescent="0.3">
      <c r="A24" s="31" t="s">
        <v>40</v>
      </c>
      <c r="B24" s="32">
        <v>1</v>
      </c>
      <c r="C24" s="69">
        <f t="shared" ref="C24:C26" si="20">D23+1</f>
        <v>46285</v>
      </c>
      <c r="D24" s="69">
        <f t="shared" ref="D24" si="21">C24+2</f>
        <v>46287</v>
      </c>
      <c r="E24" s="20"/>
      <c r="F24" s="20">
        <f>IF(OR(C24="",D24=""),"",MAX(0,D24-C24+1))</f>
        <v>3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</row>
    <row r="25" spans="1:141" ht="30" customHeight="1" x14ac:dyDescent="0.3">
      <c r="A25" s="31" t="s">
        <v>41</v>
      </c>
      <c r="B25" s="32">
        <v>1</v>
      </c>
      <c r="C25" s="69">
        <f t="shared" si="20"/>
        <v>46288</v>
      </c>
      <c r="D25" s="69">
        <v>46290</v>
      </c>
      <c r="E25" s="20"/>
      <c r="F25" s="20">
        <f>IF(OR(C25="",D25=""),"",MAX(0,D25-C25+1))</f>
        <v>3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</row>
    <row r="26" spans="1:141" ht="30" customHeight="1" x14ac:dyDescent="0.3">
      <c r="A26" s="31" t="s">
        <v>42</v>
      </c>
      <c r="B26" s="32">
        <v>1</v>
      </c>
      <c r="C26" s="69">
        <f t="shared" si="20"/>
        <v>46291</v>
      </c>
      <c r="D26" s="69">
        <v>46293</v>
      </c>
      <c r="E26" s="20"/>
      <c r="F26" s="20">
        <f>IF(OR(C26="",D26=""),"",MAX(0,D26-C26+1))</f>
        <v>3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</row>
    <row r="27" spans="1:141" ht="30" customHeight="1" x14ac:dyDescent="0.3">
      <c r="A27" s="33" t="s">
        <v>43</v>
      </c>
      <c r="B27" s="34"/>
      <c r="C27" s="70"/>
      <c r="D27" s="70"/>
      <c r="E27" s="20"/>
      <c r="F27" s="20" t="str">
        <f>IF(OR(ISBLANK(ProjectSchedule!task_start),ISBLANK(ProjectSchedule!task_end)),"",ProjectSchedule!task_end-ProjectSchedule!task_start+1)</f>
        <v/>
      </c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21"/>
      <c r="BZ27" s="21"/>
      <c r="CA27" s="21"/>
      <c r="CB27" s="21"/>
      <c r="CC27" s="21"/>
      <c r="CD27" s="21"/>
      <c r="CE27" s="52"/>
      <c r="CF27" s="63"/>
      <c r="CG27" s="52"/>
      <c r="CH27" s="52"/>
      <c r="CI27" s="52"/>
      <c r="CJ27" s="52"/>
      <c r="CK27" s="52"/>
      <c r="CL27" s="52"/>
      <c r="CM27" s="52"/>
      <c r="CN27" s="52"/>
      <c r="CO27" s="52"/>
      <c r="CP27" s="52"/>
      <c r="CQ27" s="52"/>
      <c r="CR27" s="52"/>
      <c r="CS27" s="52"/>
      <c r="CT27" s="52"/>
      <c r="CU27" s="52"/>
      <c r="CV27" s="52"/>
      <c r="CW27" s="52"/>
      <c r="CX27" s="52"/>
      <c r="CY27" s="52"/>
      <c r="CZ27" s="52"/>
      <c r="DA27" s="52"/>
      <c r="DB27" s="52"/>
      <c r="DC27" s="52"/>
      <c r="DD27" s="52"/>
      <c r="DE27" s="52"/>
      <c r="DF27" s="52"/>
      <c r="DG27" s="52"/>
      <c r="DH27" s="52"/>
      <c r="DI27" s="52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</row>
    <row r="28" spans="1:141" ht="30" customHeight="1" x14ac:dyDescent="0.3">
      <c r="A28" s="64" t="s">
        <v>44</v>
      </c>
      <c r="B28" s="35">
        <v>1</v>
      </c>
      <c r="C28" s="71">
        <v>46294</v>
      </c>
      <c r="D28" s="71">
        <v>46296</v>
      </c>
      <c r="E28" s="20"/>
      <c r="F28" s="20">
        <f>IF(OR(C28="",D28=""),"",MAX(0,D28-C28+1))</f>
        <v>3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52"/>
      <c r="CF28" s="52"/>
      <c r="CG28" s="52"/>
      <c r="CH28" s="52"/>
      <c r="CI28" s="52"/>
      <c r="CJ28" s="52"/>
      <c r="CK28" s="52"/>
      <c r="CL28" s="52"/>
      <c r="CM28" s="52"/>
      <c r="CN28" s="52"/>
      <c r="CO28" s="52"/>
      <c r="CP28" s="52"/>
      <c r="CQ28" s="52"/>
      <c r="CR28" s="52"/>
      <c r="CS28" s="52"/>
      <c r="CT28" s="52"/>
      <c r="CU28" s="52"/>
      <c r="CV28" s="52"/>
      <c r="CW28" s="52"/>
      <c r="CX28" s="52"/>
      <c r="CY28" s="52"/>
      <c r="CZ28" s="52"/>
      <c r="DA28" s="52"/>
      <c r="DB28" s="52"/>
      <c r="DC28" s="52"/>
      <c r="DD28" s="52"/>
      <c r="DE28" s="52"/>
      <c r="DF28" s="52"/>
      <c r="DG28" s="52"/>
      <c r="DH28" s="52"/>
      <c r="DI28" s="52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</row>
    <row r="29" spans="1:141" ht="30" customHeight="1" x14ac:dyDescent="0.3">
      <c r="A29" s="64" t="s">
        <v>45</v>
      </c>
      <c r="B29" s="35">
        <v>1</v>
      </c>
      <c r="C29" s="71">
        <f t="shared" ref="C29:C32" si="22">D28+1</f>
        <v>46297</v>
      </c>
      <c r="D29" s="71">
        <v>46301</v>
      </c>
      <c r="E29" s="20"/>
      <c r="F29" s="20">
        <f>IF(OR(C29="",D29=""),"",MAX(0,D29-C29+1))</f>
        <v>5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2"/>
      <c r="DC29" s="52"/>
      <c r="DD29" s="52"/>
      <c r="DE29" s="52"/>
      <c r="DF29" s="52"/>
      <c r="DG29" s="52"/>
      <c r="DH29" s="52"/>
      <c r="DI29" s="52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</row>
    <row r="30" spans="1:141" ht="30" customHeight="1" x14ac:dyDescent="0.3">
      <c r="A30" s="64" t="s">
        <v>46</v>
      </c>
      <c r="B30" s="35">
        <v>0.8</v>
      </c>
      <c r="C30" s="71">
        <f t="shared" si="22"/>
        <v>46302</v>
      </c>
      <c r="D30" s="71">
        <v>46306</v>
      </c>
      <c r="E30" s="20"/>
      <c r="F30" s="20">
        <f>IF(OR(C30="",D30=""),"",D30-C30+1)</f>
        <v>5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52"/>
      <c r="CF30" s="52"/>
      <c r="CG30" s="52"/>
      <c r="CH30" s="52"/>
      <c r="CI30" s="52"/>
      <c r="CJ30" s="52"/>
      <c r="CK30" s="52"/>
      <c r="CL30" s="52"/>
      <c r="CM30" s="52"/>
      <c r="CN30" s="52"/>
      <c r="CO30" s="52"/>
      <c r="CP30" s="52"/>
      <c r="CQ30" s="52"/>
      <c r="CR30" s="52"/>
      <c r="CS30" s="52"/>
      <c r="CT30" s="52"/>
      <c r="CU30" s="52"/>
      <c r="CV30" s="52"/>
      <c r="CW30" s="52"/>
      <c r="CX30" s="52"/>
      <c r="CY30" s="52"/>
      <c r="CZ30" s="52"/>
      <c r="DA30" s="52"/>
      <c r="DB30" s="52"/>
      <c r="DC30" s="52"/>
      <c r="DD30" s="52"/>
      <c r="DE30" s="52"/>
      <c r="DF30" s="52"/>
      <c r="DG30" s="52"/>
      <c r="DH30" s="52"/>
      <c r="DI30" s="52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</row>
    <row r="31" spans="1:141" ht="30" customHeight="1" x14ac:dyDescent="0.3">
      <c r="A31" s="64" t="s">
        <v>109</v>
      </c>
      <c r="B31" s="35"/>
      <c r="C31" s="71">
        <f t="shared" si="22"/>
        <v>46307</v>
      </c>
      <c r="D31" s="71">
        <v>46311</v>
      </c>
      <c r="E31" s="20"/>
      <c r="F31" s="20">
        <f>IF(AND(ISNUMBER(C31),ISNUMBER(D31)),D31-C31+1,"")</f>
        <v>5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52"/>
      <c r="CF31" s="52"/>
      <c r="CG31" s="52"/>
      <c r="CH31" s="52"/>
      <c r="CI31" s="52"/>
      <c r="CJ31" s="52"/>
      <c r="CK31" s="52"/>
      <c r="CL31" s="52"/>
      <c r="CM31" s="52"/>
      <c r="CN31" s="52"/>
      <c r="CO31" s="52"/>
      <c r="CP31" s="52"/>
      <c r="CQ31" s="52"/>
      <c r="CR31" s="52"/>
      <c r="CS31" s="52"/>
      <c r="CT31" s="52"/>
      <c r="CU31" s="52"/>
      <c r="CV31" s="52"/>
      <c r="CW31" s="52"/>
      <c r="CX31" s="52"/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I31" s="52"/>
      <c r="DJ31" s="52"/>
      <c r="DK31" s="52"/>
      <c r="DL31" s="52"/>
      <c r="DM31" s="52"/>
      <c r="DN31" s="52"/>
      <c r="DO31" s="52"/>
      <c r="DP31" s="52"/>
      <c r="DQ31" s="52"/>
      <c r="DR31" s="52"/>
      <c r="DS31" s="52"/>
      <c r="DT31" s="52"/>
      <c r="DU31" s="52"/>
      <c r="DV31" s="52"/>
      <c r="DW31" s="52"/>
      <c r="DX31" s="52"/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63"/>
      <c r="EK31" s="63"/>
    </row>
    <row r="32" spans="1:141" ht="30" customHeight="1" x14ac:dyDescent="0.3">
      <c r="A32" s="78" t="s">
        <v>110</v>
      </c>
      <c r="B32" s="35"/>
      <c r="C32" s="71">
        <f t="shared" si="22"/>
        <v>46312</v>
      </c>
      <c r="D32" s="71">
        <v>46313</v>
      </c>
      <c r="E32" s="20"/>
      <c r="F32" s="20">
        <f>IF(AND(ISNUMBER(C32),ISNUMBER(D32)),D32-C32+1,"")</f>
        <v>2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52"/>
      <c r="CU32" s="52"/>
      <c r="CV32" s="52"/>
      <c r="CW32" s="52"/>
      <c r="CX32" s="52"/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I32" s="52"/>
      <c r="DJ32" s="52"/>
      <c r="DK32" s="52"/>
      <c r="DL32" s="52"/>
      <c r="DM32" s="52"/>
      <c r="DN32" s="52"/>
      <c r="DO32" s="52"/>
      <c r="DP32" s="52"/>
      <c r="DQ32" s="52"/>
      <c r="DR32" s="52"/>
      <c r="DS32" s="52"/>
      <c r="DT32" s="52"/>
      <c r="DU32" s="52"/>
      <c r="DV32" s="52"/>
      <c r="DW32" s="52"/>
      <c r="DX32" s="52"/>
      <c r="DY32" s="52"/>
      <c r="DZ32" s="52"/>
      <c r="EA32" s="52"/>
      <c r="EB32" s="52"/>
      <c r="EC32" s="52"/>
      <c r="ED32" s="52"/>
      <c r="EE32" s="52"/>
      <c r="EF32" s="52"/>
      <c r="EG32" s="52"/>
      <c r="EH32" s="52"/>
      <c r="EI32" s="52"/>
      <c r="EJ32" s="63"/>
      <c r="EK32" s="63"/>
    </row>
    <row r="33" spans="1:141" ht="30" customHeight="1" x14ac:dyDescent="0.3">
      <c r="A33" s="36" t="s">
        <v>47</v>
      </c>
      <c r="B33" s="37"/>
      <c r="C33" s="72"/>
      <c r="D33" s="72"/>
      <c r="E33" s="20"/>
      <c r="F33" s="20" t="str">
        <f>IF(OR(ISBLANK(ProjectSchedule!task_start),ISBLANK(ProjectSchedule!task_end)),"",ProjectSchedule!task_end-ProjectSchedule!task_start+1)</f>
        <v/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21"/>
      <c r="CN33" s="21"/>
      <c r="CO33" s="21"/>
      <c r="CP33" s="21"/>
      <c r="CQ33" s="21"/>
      <c r="CR33" s="21"/>
      <c r="CS33" s="21"/>
      <c r="CT33" s="52"/>
      <c r="CU33" s="52"/>
      <c r="CV33" s="52"/>
      <c r="CW33" s="52"/>
      <c r="CX33" s="52"/>
      <c r="CY33" s="52"/>
      <c r="CZ33" s="52"/>
      <c r="DA33" s="52"/>
      <c r="DB33" s="52"/>
      <c r="DC33" s="52"/>
      <c r="DD33" s="52"/>
      <c r="DE33" s="52"/>
      <c r="DF33" s="52"/>
      <c r="DG33" s="52"/>
      <c r="DH33" s="52"/>
      <c r="DI33" s="52"/>
      <c r="DJ33" s="52"/>
      <c r="DK33" s="52"/>
      <c r="DL33" s="52"/>
      <c r="DM33" s="52"/>
      <c r="DN33" s="52"/>
      <c r="DO33" s="52"/>
      <c r="DP33" s="52"/>
      <c r="DQ33" s="52"/>
      <c r="DR33" s="52"/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52"/>
      <c r="ED33" s="52"/>
      <c r="EE33" s="52"/>
      <c r="EF33" s="52"/>
      <c r="EG33" s="52"/>
      <c r="EH33" s="52"/>
      <c r="EI33" s="52"/>
      <c r="EJ33" s="63"/>
      <c r="EK33" s="63"/>
    </row>
    <row r="34" spans="1:141" ht="30" customHeight="1" x14ac:dyDescent="0.3">
      <c r="A34" s="38" t="s">
        <v>48</v>
      </c>
      <c r="B34" s="39"/>
      <c r="C34" s="73">
        <v>46314</v>
      </c>
      <c r="D34" s="73">
        <v>46316</v>
      </c>
      <c r="E34" s="20"/>
      <c r="F34" s="20">
        <f>IF(AND(ISNUMBER(C34),ISNUMBER(D34)),D34-C34+1,"")</f>
        <v>3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52"/>
      <c r="CU34" s="52"/>
      <c r="CV34" s="52"/>
      <c r="CW34" s="52"/>
      <c r="CX34" s="52"/>
      <c r="CY34" s="52"/>
      <c r="CZ34" s="52"/>
      <c r="DA34" s="52"/>
      <c r="DB34" s="52"/>
      <c r="DC34" s="52"/>
      <c r="DD34" s="52"/>
      <c r="DE34" s="52"/>
      <c r="DF34" s="52"/>
      <c r="DG34" s="52"/>
      <c r="DH34" s="52"/>
      <c r="DI34" s="52"/>
      <c r="DJ34" s="52"/>
      <c r="DK34" s="52"/>
      <c r="DL34" s="52"/>
      <c r="DM34" s="52"/>
      <c r="DN34" s="52"/>
      <c r="DO34" s="52"/>
      <c r="DP34" s="52"/>
      <c r="DQ34" s="52"/>
      <c r="DR34" s="52"/>
      <c r="DS34" s="52"/>
      <c r="DT34" s="52"/>
      <c r="DU34" s="52"/>
      <c r="DV34" s="52"/>
      <c r="DW34" s="52"/>
      <c r="DX34" s="52"/>
      <c r="DY34" s="52"/>
      <c r="DZ34" s="52"/>
      <c r="EA34" s="52"/>
      <c r="EB34" s="52"/>
      <c r="EC34" s="52"/>
      <c r="ED34" s="52"/>
      <c r="EE34" s="52"/>
      <c r="EF34" s="52"/>
      <c r="EG34" s="52"/>
      <c r="EH34" s="52"/>
      <c r="EI34" s="52"/>
      <c r="EJ34" s="63"/>
      <c r="EK34" s="63"/>
    </row>
    <row r="35" spans="1:141" ht="30" customHeight="1" x14ac:dyDescent="0.3">
      <c r="A35" s="38" t="s">
        <v>49</v>
      </c>
      <c r="B35" s="39"/>
      <c r="C35" s="73">
        <f t="shared" ref="C35:C38" si="23">D34+1</f>
        <v>46317</v>
      </c>
      <c r="D35" s="73">
        <v>46319</v>
      </c>
      <c r="E35" s="20"/>
      <c r="F35" s="20">
        <f>IF(AND(ISNUMBER(C35),ISNUMBER(D35)),D35-C35+1,"")</f>
        <v>3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52"/>
      <c r="CU35" s="52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  <c r="DJ35" s="52"/>
      <c r="DK35" s="52"/>
      <c r="DL35" s="52"/>
      <c r="DM35" s="52"/>
      <c r="DN35" s="52"/>
      <c r="DO35" s="52"/>
      <c r="DP35" s="52"/>
      <c r="DQ35" s="52"/>
      <c r="DR35" s="52"/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63"/>
      <c r="EK35" s="63"/>
    </row>
    <row r="36" spans="1:141" ht="30" customHeight="1" x14ac:dyDescent="0.3">
      <c r="A36" s="38" t="s">
        <v>50</v>
      </c>
      <c r="B36" s="39"/>
      <c r="C36" s="73">
        <f t="shared" si="23"/>
        <v>46320</v>
      </c>
      <c r="D36" s="73">
        <v>46322</v>
      </c>
      <c r="E36" s="20"/>
      <c r="F36" s="20">
        <f>IF(AND(ISNUMBER(C36),ISNUMBER(D36)),D36-C36+1,"")</f>
        <v>3</v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52"/>
      <c r="CU36" s="52"/>
      <c r="CV36" s="52"/>
      <c r="CW36" s="52"/>
      <c r="CX36" s="52"/>
      <c r="CY36" s="52"/>
      <c r="CZ36" s="52"/>
      <c r="DA36" s="52"/>
      <c r="DB36" s="52"/>
      <c r="DC36" s="52"/>
      <c r="DD36" s="52"/>
      <c r="DE36" s="52"/>
      <c r="DF36" s="52"/>
      <c r="DG36" s="52"/>
      <c r="DH36" s="52"/>
      <c r="DI36" s="52"/>
      <c r="DJ36" s="52"/>
      <c r="DK36" s="52"/>
      <c r="DL36" s="52"/>
      <c r="DM36" s="52"/>
      <c r="DN36" s="52"/>
      <c r="DO36" s="52"/>
      <c r="DP36" s="52"/>
      <c r="DQ36" s="52"/>
      <c r="DR36" s="52"/>
      <c r="DS36" s="52"/>
      <c r="DT36" s="52"/>
      <c r="DU36" s="52"/>
      <c r="DV36" s="52"/>
      <c r="DW36" s="52"/>
      <c r="DX36" s="52"/>
      <c r="DY36" s="52"/>
      <c r="DZ36" s="52"/>
      <c r="EA36" s="52"/>
      <c r="EB36" s="52"/>
      <c r="EC36" s="52"/>
      <c r="ED36" s="52"/>
      <c r="EE36" s="52"/>
      <c r="EF36" s="52"/>
      <c r="EG36" s="52"/>
      <c r="EH36" s="52"/>
      <c r="EI36" s="52"/>
      <c r="EJ36" s="63"/>
      <c r="EK36" s="63"/>
    </row>
    <row r="37" spans="1:141" ht="30" customHeight="1" x14ac:dyDescent="0.3">
      <c r="A37" s="38" t="s">
        <v>51</v>
      </c>
      <c r="B37" s="39"/>
      <c r="C37" s="73">
        <f t="shared" si="23"/>
        <v>46323</v>
      </c>
      <c r="D37" s="73">
        <v>46325</v>
      </c>
      <c r="E37" s="20"/>
      <c r="F37" s="20">
        <f>IF(AND(ISNUMBER(C37),ISNUMBER(D37)),D37-C37+1,"")</f>
        <v>3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63"/>
      <c r="EK37" s="63"/>
    </row>
    <row r="38" spans="1:141" ht="30" customHeight="1" x14ac:dyDescent="0.3">
      <c r="A38" s="38" t="s">
        <v>52</v>
      </c>
      <c r="B38" s="39"/>
      <c r="C38" s="73">
        <f t="shared" si="23"/>
        <v>46326</v>
      </c>
      <c r="D38" s="73">
        <v>46327</v>
      </c>
      <c r="E38" s="20"/>
      <c r="F38" s="20">
        <f>IF(AND(ISNUMBER(C38),ISNUMBER(D38)),D38-C38+1,"")</f>
        <v>2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52"/>
      <c r="CU38" s="52"/>
      <c r="CV38" s="52"/>
      <c r="CW38" s="52"/>
      <c r="CX38" s="52"/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  <c r="DJ38" s="52"/>
      <c r="DK38" s="52"/>
      <c r="DL38" s="52"/>
      <c r="DM38" s="52"/>
      <c r="DN38" s="52"/>
      <c r="DO38" s="52"/>
      <c r="DP38" s="52"/>
      <c r="DQ38" s="52"/>
      <c r="DR38" s="52"/>
      <c r="DS38" s="52"/>
      <c r="DT38" s="52"/>
      <c r="DU38" s="52"/>
      <c r="DV38" s="52"/>
      <c r="DW38" s="52"/>
      <c r="DX38" s="52"/>
      <c r="DY38" s="52"/>
      <c r="DZ38" s="52"/>
      <c r="EA38" s="52"/>
      <c r="EB38" s="52"/>
      <c r="EC38" s="52"/>
      <c r="ED38" s="52"/>
      <c r="EE38" s="52"/>
      <c r="EF38" s="52"/>
      <c r="EG38" s="52"/>
      <c r="EH38" s="52"/>
      <c r="EI38" s="52"/>
      <c r="EJ38" s="63"/>
      <c r="EK38" s="63"/>
    </row>
    <row r="39" spans="1:141" ht="30" customHeight="1" x14ac:dyDescent="0.3">
      <c r="A39" s="40" t="s">
        <v>53</v>
      </c>
      <c r="B39" s="41"/>
      <c r="C39" s="74"/>
      <c r="D39" s="74"/>
      <c r="E39" s="20"/>
      <c r="F39" s="20" t="str">
        <f>IF(OR(ISBLANK(ProjectSchedule!task_start),ISBLANK(ProjectSchedule!task_end)),"",ProjectSchedule!task_end-ProjectSchedule!task_start+1)</f>
        <v/>
      </c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61"/>
      <c r="CN39" s="61"/>
      <c r="CO39" s="61"/>
      <c r="CP39" s="61"/>
      <c r="CQ39" s="61"/>
      <c r="CR39" s="61"/>
      <c r="CS39" s="61"/>
      <c r="CT39" s="61"/>
      <c r="CU39" s="61"/>
      <c r="CV39" s="61"/>
      <c r="CW39" s="61"/>
      <c r="CX39" s="61"/>
      <c r="CY39" s="61"/>
      <c r="CZ39" s="61"/>
      <c r="DA39" s="61"/>
      <c r="DB39" s="61"/>
      <c r="DC39" s="61"/>
      <c r="DD39" s="52"/>
      <c r="DE39" s="52"/>
      <c r="DF39" s="52"/>
      <c r="DG39" s="52"/>
      <c r="DH39" s="52"/>
      <c r="DI39" s="52"/>
      <c r="DJ39" s="52"/>
      <c r="DK39" s="52"/>
      <c r="DL39" s="52"/>
      <c r="DM39" s="52"/>
      <c r="DN39" s="52"/>
      <c r="DO39" s="52"/>
      <c r="DP39" s="52"/>
      <c r="DQ39" s="52"/>
      <c r="DR39" s="52"/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63"/>
      <c r="EK39" s="63"/>
    </row>
    <row r="40" spans="1:141" ht="30" customHeight="1" x14ac:dyDescent="0.3">
      <c r="A40" s="42" t="s">
        <v>54</v>
      </c>
      <c r="B40" s="43"/>
      <c r="C40" s="75">
        <v>46328</v>
      </c>
      <c r="D40" s="75">
        <v>46331</v>
      </c>
      <c r="E40" s="20"/>
      <c r="F40" s="20">
        <f t="shared" ref="F40:F46" si="24">IF(AND(ISNUMBER(C40),ISNUMBER(D40)),D40-C40+1,"")</f>
        <v>4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52"/>
      <c r="CU40" s="52"/>
      <c r="CV40" s="52"/>
      <c r="CW40" s="52"/>
      <c r="CX40" s="52"/>
      <c r="CY40" s="52"/>
      <c r="CZ40" s="52"/>
      <c r="DA40" s="52"/>
      <c r="DB40" s="52"/>
      <c r="DC40" s="52"/>
      <c r="DD40" s="52"/>
      <c r="DE40" s="52"/>
      <c r="DF40" s="52"/>
      <c r="DG40" s="52"/>
      <c r="DH40" s="52"/>
      <c r="DI40" s="52"/>
      <c r="DJ40" s="52"/>
      <c r="DK40" s="52"/>
      <c r="DL40" s="52"/>
      <c r="DM40" s="52"/>
      <c r="DN40" s="52"/>
      <c r="DO40" s="52"/>
      <c r="DP40" s="52"/>
      <c r="DQ40" s="52"/>
      <c r="DR40" s="52"/>
      <c r="DS40" s="52"/>
      <c r="DT40" s="52"/>
      <c r="DU40" s="52"/>
      <c r="DV40" s="52"/>
      <c r="DW40" s="52"/>
      <c r="DX40" s="52"/>
      <c r="DY40" s="52"/>
      <c r="DZ40" s="52"/>
      <c r="EA40" s="52"/>
      <c r="EB40" s="52"/>
      <c r="EC40" s="52"/>
      <c r="ED40" s="52"/>
      <c r="EE40" s="52"/>
      <c r="EF40" s="52"/>
      <c r="EG40" s="52"/>
      <c r="EH40" s="52"/>
      <c r="EI40" s="52"/>
      <c r="EJ40" s="63"/>
      <c r="EK40" s="63"/>
    </row>
    <row r="41" spans="1:141" ht="30" customHeight="1" x14ac:dyDescent="0.3">
      <c r="A41" s="42" t="s">
        <v>55</v>
      </c>
      <c r="B41" s="43"/>
      <c r="C41" s="75">
        <f t="shared" ref="C41:C44" si="25">D40+1</f>
        <v>46332</v>
      </c>
      <c r="D41" s="75">
        <v>46334</v>
      </c>
      <c r="E41" s="20"/>
      <c r="F41" s="20">
        <f t="shared" si="24"/>
        <v>3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52"/>
      <c r="CU41" s="52"/>
      <c r="CV41" s="52"/>
      <c r="CW41" s="52"/>
      <c r="CX41" s="52"/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  <c r="DJ41" s="52"/>
      <c r="DK41" s="52"/>
      <c r="DL41" s="52"/>
      <c r="DM41" s="52"/>
      <c r="DN41" s="52"/>
      <c r="DO41" s="52"/>
      <c r="DP41" s="52"/>
      <c r="DQ41" s="52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63"/>
      <c r="EK41" s="63"/>
    </row>
    <row r="42" spans="1:141" ht="30" customHeight="1" x14ac:dyDescent="0.3">
      <c r="A42" s="42" t="s">
        <v>56</v>
      </c>
      <c r="B42" s="43"/>
      <c r="C42" s="75">
        <f t="shared" si="25"/>
        <v>46335</v>
      </c>
      <c r="D42" s="75">
        <v>46336</v>
      </c>
      <c r="E42" s="20"/>
      <c r="F42" s="20">
        <f t="shared" si="24"/>
        <v>2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52"/>
      <c r="CU42" s="52"/>
      <c r="CV42" s="52"/>
      <c r="CW42" s="52"/>
      <c r="CX42" s="52"/>
      <c r="CY42" s="52"/>
      <c r="CZ42" s="52"/>
      <c r="DA42" s="52"/>
      <c r="DB42" s="52"/>
      <c r="DC42" s="52"/>
      <c r="DD42" s="52"/>
      <c r="DE42" s="52"/>
      <c r="DF42" s="52"/>
      <c r="DG42" s="52"/>
      <c r="DH42" s="52"/>
      <c r="DI42" s="52"/>
      <c r="DJ42" s="52"/>
      <c r="DK42" s="52"/>
      <c r="DL42" s="52"/>
      <c r="DM42" s="52"/>
      <c r="DN42" s="52"/>
      <c r="DO42" s="52"/>
      <c r="DP42" s="52"/>
      <c r="DQ42" s="52"/>
      <c r="DR42" s="52"/>
      <c r="DS42" s="52"/>
      <c r="DT42" s="52"/>
      <c r="DU42" s="52"/>
      <c r="DV42" s="52"/>
      <c r="DW42" s="52"/>
      <c r="DX42" s="52"/>
      <c r="DY42" s="52"/>
      <c r="DZ42" s="52"/>
      <c r="EA42" s="52"/>
      <c r="EB42" s="52"/>
      <c r="EC42" s="52"/>
      <c r="ED42" s="52"/>
      <c r="EE42" s="52"/>
      <c r="EF42" s="52"/>
      <c r="EG42" s="52"/>
      <c r="EH42" s="52"/>
      <c r="EI42" s="52"/>
      <c r="EJ42" s="63"/>
      <c r="EK42" s="63"/>
    </row>
    <row r="43" spans="1:141" ht="30" customHeight="1" x14ac:dyDescent="0.3">
      <c r="A43" s="42" t="s">
        <v>57</v>
      </c>
      <c r="B43" s="43"/>
      <c r="C43" s="75">
        <f t="shared" si="25"/>
        <v>46337</v>
      </c>
      <c r="D43" s="75">
        <v>46339</v>
      </c>
      <c r="E43" s="20"/>
      <c r="F43" s="20">
        <f t="shared" si="24"/>
        <v>3</v>
      </c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52"/>
      <c r="CU43" s="52"/>
      <c r="CV43" s="52"/>
      <c r="CW43" s="52"/>
      <c r="CX43" s="52"/>
      <c r="CY43" s="52"/>
      <c r="CZ43" s="52"/>
      <c r="DA43" s="52"/>
      <c r="DB43" s="52"/>
      <c r="DC43" s="52"/>
      <c r="DD43" s="52"/>
      <c r="DE43" s="52"/>
      <c r="DF43" s="52"/>
      <c r="DG43" s="52"/>
      <c r="DH43" s="52"/>
      <c r="DI43" s="52"/>
      <c r="DJ43" s="52"/>
      <c r="DK43" s="52"/>
      <c r="DL43" s="52"/>
      <c r="DM43" s="52"/>
      <c r="DN43" s="52"/>
      <c r="DO43" s="52"/>
      <c r="DP43" s="52"/>
      <c r="DQ43" s="52"/>
      <c r="DR43" s="52"/>
      <c r="DS43" s="52"/>
      <c r="DT43" s="52"/>
      <c r="DU43" s="52"/>
      <c r="DV43" s="52"/>
      <c r="DW43" s="52"/>
      <c r="DX43" s="52"/>
      <c r="DY43" s="52"/>
      <c r="DZ43" s="52"/>
      <c r="EA43" s="52"/>
      <c r="EB43" s="52"/>
      <c r="EC43" s="52"/>
      <c r="ED43" s="52"/>
      <c r="EE43" s="52"/>
      <c r="EF43" s="52"/>
      <c r="EG43" s="52"/>
      <c r="EH43" s="52"/>
      <c r="EI43" s="52"/>
      <c r="EJ43" s="63"/>
      <c r="EK43" s="63"/>
    </row>
    <row r="44" spans="1:141" ht="30" customHeight="1" x14ac:dyDescent="0.3">
      <c r="A44" s="42" t="s">
        <v>58</v>
      </c>
      <c r="B44" s="43"/>
      <c r="C44" s="75">
        <f t="shared" si="25"/>
        <v>46340</v>
      </c>
      <c r="D44" s="75">
        <v>46341</v>
      </c>
      <c r="E44" s="20"/>
      <c r="F44" s="20">
        <f t="shared" si="24"/>
        <v>2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</row>
    <row r="45" spans="1:141" ht="30" customHeight="1" x14ac:dyDescent="0.3">
      <c r="A45" s="42" t="s">
        <v>59</v>
      </c>
      <c r="B45" s="43"/>
      <c r="C45" s="75">
        <v>46342</v>
      </c>
      <c r="D45" s="75">
        <v>46342</v>
      </c>
      <c r="E45" s="20"/>
      <c r="F45" s="20">
        <f t="shared" si="24"/>
        <v>1</v>
      </c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</row>
    <row r="46" spans="1:141" ht="30" customHeight="1" x14ac:dyDescent="0.3">
      <c r="A46" s="58" t="s">
        <v>60</v>
      </c>
      <c r="B46" s="43"/>
      <c r="C46" s="75">
        <v>46343</v>
      </c>
      <c r="D46" s="75">
        <v>46344</v>
      </c>
      <c r="E46" s="20"/>
      <c r="F46" s="20">
        <f t="shared" si="24"/>
        <v>2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</row>
    <row r="47" spans="1:141" ht="30" customHeight="1" x14ac:dyDescent="0.3">
      <c r="A47" s="42" t="s">
        <v>61</v>
      </c>
      <c r="B47" s="43"/>
      <c r="C47" s="75">
        <v>46345</v>
      </c>
      <c r="D47" s="75">
        <v>46345</v>
      </c>
      <c r="E47" s="20"/>
      <c r="F47" s="20">
        <f>IF(OR(C47="",D47=""),"",D47-C47+1)</f>
        <v>1</v>
      </c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</row>
    <row r="48" spans="1:141" ht="30" customHeight="1" x14ac:dyDescent="0.3">
      <c r="A48" s="44" t="s">
        <v>62</v>
      </c>
      <c r="B48" s="45"/>
      <c r="C48" s="46"/>
      <c r="D48" s="47"/>
      <c r="E48" s="48"/>
      <c r="F48" s="48" t="str">
        <f>IF(OR(ISBLANK(ProjectSchedule!task_start),ISBLANK(ProjectSchedule!task_end)),"",ProjectSchedule!task_end-ProjectSchedule!task_start+1)</f>
        <v/>
      </c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  <c r="DK48" s="49"/>
      <c r="DL48" s="49"/>
      <c r="DM48" s="49"/>
      <c r="DN48" s="49"/>
      <c r="DO48" s="49"/>
      <c r="DP48" s="49"/>
      <c r="DQ48" s="49"/>
      <c r="DR48" s="49"/>
      <c r="DS48" s="49"/>
      <c r="DT48" s="49"/>
      <c r="DU48" s="49"/>
      <c r="DV48" s="49"/>
      <c r="DW48" s="49"/>
      <c r="DX48" s="49"/>
      <c r="DY48" s="49"/>
      <c r="DZ48" s="49"/>
      <c r="EA48" s="49"/>
      <c r="EB48" s="49"/>
      <c r="EC48" s="49"/>
      <c r="ED48" s="49"/>
      <c r="EE48" s="49"/>
      <c r="EF48" s="49"/>
      <c r="EG48" s="49"/>
      <c r="EH48" s="49"/>
      <c r="EI48" s="49"/>
    </row>
    <row r="49" spans="3:5" ht="30" customHeight="1" x14ac:dyDescent="0.3">
      <c r="C49" s="7"/>
      <c r="E49" s="50"/>
    </row>
    <row r="50" spans="3:5" ht="30" customHeight="1" x14ac:dyDescent="0.3">
      <c r="C50" s="7"/>
      <c r="D50" s="51"/>
    </row>
    <row r="51" spans="3:5" ht="30" customHeight="1" x14ac:dyDescent="0.3">
      <c r="C51" s="7"/>
    </row>
    <row r="52" spans="3:5" ht="30" customHeight="1" x14ac:dyDescent="0.3">
      <c r="C52" s="7"/>
    </row>
    <row r="53" spans="3:5" ht="30" customHeight="1" x14ac:dyDescent="0.3">
      <c r="C53" s="7"/>
    </row>
    <row r="54" spans="3:5" ht="30" customHeight="1" x14ac:dyDescent="0.3">
      <c r="C54" s="7"/>
    </row>
    <row r="55" spans="3:5" ht="30" customHeight="1" x14ac:dyDescent="0.3">
      <c r="C55" s="7"/>
    </row>
    <row r="56" spans="3:5" ht="30" customHeight="1" x14ac:dyDescent="0.3">
      <c r="C56" s="7"/>
    </row>
    <row r="57" spans="3:5" ht="30" customHeight="1" x14ac:dyDescent="0.3">
      <c r="C57" s="7"/>
    </row>
    <row r="58" spans="3:5" ht="30" customHeight="1" x14ac:dyDescent="0.3">
      <c r="C58" s="7"/>
    </row>
    <row r="59" spans="3:5" ht="30" customHeight="1" x14ac:dyDescent="0.3">
      <c r="C59" s="7"/>
    </row>
    <row r="60" spans="3:5" ht="30" customHeight="1" x14ac:dyDescent="0.3">
      <c r="C60" s="7"/>
    </row>
    <row r="61" spans="3:5" ht="30" customHeight="1" x14ac:dyDescent="0.3">
      <c r="C61" s="7"/>
    </row>
    <row r="62" spans="3:5" ht="30" customHeight="1" x14ac:dyDescent="0.3">
      <c r="C62" s="7"/>
    </row>
    <row r="63" spans="3:5" ht="30" customHeight="1" x14ac:dyDescent="0.3">
      <c r="C63" s="7"/>
    </row>
    <row r="64" spans="3:5" ht="30" customHeight="1" x14ac:dyDescent="0.3">
      <c r="C64" s="7"/>
    </row>
    <row r="65" spans="3:3" ht="30" customHeight="1" x14ac:dyDescent="0.3">
      <c r="C65" s="7"/>
    </row>
    <row r="66" spans="3:3" ht="30" customHeight="1" x14ac:dyDescent="0.3">
      <c r="C66" s="7"/>
    </row>
    <row r="67" spans="3:3" ht="30" customHeight="1" x14ac:dyDescent="0.3">
      <c r="C67" s="7"/>
    </row>
    <row r="68" spans="3:3" ht="30" customHeight="1" x14ac:dyDescent="0.3">
      <c r="C68" s="7"/>
    </row>
    <row r="69" spans="3:3" ht="30" customHeight="1" x14ac:dyDescent="0.3">
      <c r="C69" s="7"/>
    </row>
    <row r="70" spans="3:3" ht="30" customHeight="1" x14ac:dyDescent="0.3">
      <c r="C70" s="7"/>
    </row>
    <row r="71" spans="3:3" ht="30" customHeight="1" x14ac:dyDescent="0.3">
      <c r="C71" s="7"/>
    </row>
    <row r="72" spans="3:3" ht="30" customHeight="1" x14ac:dyDescent="0.3">
      <c r="C72" s="7"/>
    </row>
    <row r="73" spans="3:3" ht="30" customHeight="1" x14ac:dyDescent="0.3">
      <c r="C73" s="7"/>
    </row>
    <row r="74" spans="3:3" ht="30" customHeight="1" x14ac:dyDescent="0.3">
      <c r="C74" s="7"/>
    </row>
    <row r="75" spans="3:3" ht="30" customHeight="1" x14ac:dyDescent="0.3">
      <c r="C75" s="7"/>
    </row>
    <row r="76" spans="3:3" ht="30" customHeight="1" x14ac:dyDescent="0.3">
      <c r="C76" s="7"/>
    </row>
    <row r="77" spans="3:3" ht="30" customHeight="1" x14ac:dyDescent="0.3">
      <c r="C77" s="7"/>
    </row>
    <row r="78" spans="3:3" ht="30" customHeight="1" x14ac:dyDescent="0.3">
      <c r="C78" s="7"/>
    </row>
    <row r="79" spans="3:3" ht="30" customHeight="1" x14ac:dyDescent="0.3">
      <c r="C79" s="7"/>
    </row>
    <row r="80" spans="3:3" ht="30" customHeight="1" x14ac:dyDescent="0.3">
      <c r="C80" s="7"/>
    </row>
    <row r="81" spans="3:3" ht="30" customHeight="1" x14ac:dyDescent="0.3">
      <c r="C81" s="7"/>
    </row>
    <row r="82" spans="3:3" ht="30" customHeight="1" x14ac:dyDescent="0.3">
      <c r="C82" s="7"/>
    </row>
    <row r="83" spans="3:3" ht="30" customHeight="1" x14ac:dyDescent="0.3">
      <c r="C83" s="7"/>
    </row>
    <row r="84" spans="3:3" ht="30" customHeight="1" x14ac:dyDescent="0.3">
      <c r="C84" s="7"/>
    </row>
    <row r="85" spans="3:3" ht="30" customHeight="1" x14ac:dyDescent="0.3">
      <c r="C85" s="7"/>
    </row>
    <row r="86" spans="3:3" ht="30" customHeight="1" x14ac:dyDescent="0.3">
      <c r="C86" s="7"/>
    </row>
    <row r="87" spans="3:3" ht="30" customHeight="1" x14ac:dyDescent="0.3">
      <c r="C87" s="7"/>
    </row>
    <row r="88" spans="3:3" ht="30" customHeight="1" x14ac:dyDescent="0.3">
      <c r="C88" s="7"/>
    </row>
    <row r="89" spans="3:3" ht="30" customHeight="1" x14ac:dyDescent="0.3">
      <c r="C89" s="7"/>
    </row>
    <row r="90" spans="3:3" ht="30" customHeight="1" x14ac:dyDescent="0.3">
      <c r="C90" s="7"/>
    </row>
    <row r="91" spans="3:3" ht="30" customHeight="1" x14ac:dyDescent="0.3">
      <c r="C91" s="7"/>
    </row>
    <row r="92" spans="3:3" ht="30" customHeight="1" x14ac:dyDescent="0.3">
      <c r="C92" s="7"/>
    </row>
    <row r="93" spans="3:3" ht="30" customHeight="1" x14ac:dyDescent="0.3">
      <c r="C93" s="7"/>
    </row>
    <row r="94" spans="3:3" ht="30" customHeight="1" x14ac:dyDescent="0.3">
      <c r="C94" s="7"/>
    </row>
    <row r="95" spans="3:3" ht="30" customHeight="1" x14ac:dyDescent="0.3">
      <c r="C95" s="7"/>
    </row>
    <row r="96" spans="3:3" ht="30" customHeight="1" x14ac:dyDescent="0.3">
      <c r="C96" s="7"/>
    </row>
    <row r="97" spans="3:3" ht="30" customHeight="1" x14ac:dyDescent="0.3">
      <c r="C97" s="7"/>
    </row>
    <row r="98" spans="3:3" ht="30" customHeight="1" x14ac:dyDescent="0.3">
      <c r="C98" s="7"/>
    </row>
    <row r="99" spans="3:3" ht="30" customHeight="1" x14ac:dyDescent="0.3">
      <c r="C99" s="7"/>
    </row>
    <row r="100" spans="3:3" ht="30" customHeight="1" x14ac:dyDescent="0.3">
      <c r="C100" s="7"/>
    </row>
    <row r="101" spans="3:3" ht="30" customHeight="1" x14ac:dyDescent="0.3">
      <c r="C101" s="7"/>
    </row>
    <row r="102" spans="3:3" ht="30" customHeight="1" x14ac:dyDescent="0.3">
      <c r="C102" s="7"/>
    </row>
    <row r="103" spans="3:3" ht="30" customHeight="1" x14ac:dyDescent="0.3">
      <c r="C103" s="7"/>
    </row>
    <row r="104" spans="3:3" ht="30" customHeight="1" x14ac:dyDescent="0.3">
      <c r="C104" s="7"/>
    </row>
    <row r="105" spans="3:3" ht="30" customHeight="1" x14ac:dyDescent="0.3">
      <c r="C105" s="7"/>
    </row>
    <row r="106" spans="3:3" ht="30" customHeight="1" x14ac:dyDescent="0.3">
      <c r="C106" s="7"/>
    </row>
    <row r="107" spans="3:3" ht="30" customHeight="1" x14ac:dyDescent="0.3">
      <c r="C107" s="7"/>
    </row>
    <row r="108" spans="3:3" ht="30" customHeight="1" x14ac:dyDescent="0.3">
      <c r="C108" s="7"/>
    </row>
    <row r="109" spans="3:3" ht="30" customHeight="1" x14ac:dyDescent="0.3">
      <c r="C109" s="7"/>
    </row>
    <row r="110" spans="3:3" ht="30" customHeight="1" x14ac:dyDescent="0.3">
      <c r="C110" s="7"/>
    </row>
    <row r="111" spans="3:3" ht="30" customHeight="1" x14ac:dyDescent="0.3">
      <c r="C111" s="7"/>
    </row>
    <row r="112" spans="3:3" ht="30" customHeight="1" x14ac:dyDescent="0.3">
      <c r="C112" s="7"/>
    </row>
    <row r="113" spans="3:3" ht="30" customHeight="1" x14ac:dyDescent="0.3">
      <c r="C113" s="7"/>
    </row>
    <row r="114" spans="3:3" ht="30" customHeight="1" x14ac:dyDescent="0.3">
      <c r="C114" s="7"/>
    </row>
    <row r="115" spans="3:3" ht="30" customHeight="1" x14ac:dyDescent="0.3">
      <c r="C115" s="7"/>
    </row>
    <row r="116" spans="3:3" ht="30" customHeight="1" x14ac:dyDescent="0.3">
      <c r="C116" s="7"/>
    </row>
    <row r="117" spans="3:3" ht="30" customHeight="1" x14ac:dyDescent="0.3">
      <c r="C117" s="7"/>
    </row>
    <row r="118" spans="3:3" ht="30" customHeight="1" x14ac:dyDescent="0.3">
      <c r="C118" s="7"/>
    </row>
    <row r="119" spans="3:3" ht="30" customHeight="1" x14ac:dyDescent="0.3">
      <c r="C119" s="7"/>
    </row>
    <row r="120" spans="3:3" ht="30" customHeight="1" x14ac:dyDescent="0.3">
      <c r="C120" s="7"/>
    </row>
    <row r="121" spans="3:3" ht="30" customHeight="1" x14ac:dyDescent="0.3">
      <c r="C121" s="7"/>
    </row>
    <row r="122" spans="3:3" ht="30" customHeight="1" x14ac:dyDescent="0.3">
      <c r="C122" s="7"/>
    </row>
    <row r="123" spans="3:3" ht="30" customHeight="1" x14ac:dyDescent="0.3">
      <c r="C123" s="7"/>
    </row>
    <row r="124" spans="3:3" ht="30" customHeight="1" x14ac:dyDescent="0.3">
      <c r="C124" s="7"/>
    </row>
    <row r="125" spans="3:3" ht="30" customHeight="1" x14ac:dyDescent="0.3">
      <c r="C125" s="7"/>
    </row>
    <row r="126" spans="3:3" ht="30" customHeight="1" x14ac:dyDescent="0.3">
      <c r="C126" s="7"/>
    </row>
    <row r="127" spans="3:3" ht="30" customHeight="1" x14ac:dyDescent="0.3">
      <c r="C127" s="7"/>
    </row>
    <row r="128" spans="3:3" ht="30" customHeight="1" x14ac:dyDescent="0.3">
      <c r="C128" s="7"/>
    </row>
    <row r="129" spans="3:3" ht="30" customHeight="1" x14ac:dyDescent="0.3">
      <c r="C129" s="7"/>
    </row>
    <row r="130" spans="3:3" ht="30" customHeight="1" x14ac:dyDescent="0.3">
      <c r="C130" s="7"/>
    </row>
    <row r="131" spans="3:3" ht="30" customHeight="1" x14ac:dyDescent="0.3">
      <c r="C131" s="7"/>
    </row>
    <row r="132" spans="3:3" ht="30" customHeight="1" x14ac:dyDescent="0.3">
      <c r="C132" s="7"/>
    </row>
    <row r="133" spans="3:3" ht="30" customHeight="1" x14ac:dyDescent="0.3">
      <c r="C133" s="7"/>
    </row>
    <row r="134" spans="3:3" ht="30" customHeight="1" x14ac:dyDescent="0.3">
      <c r="C134" s="7"/>
    </row>
    <row r="135" spans="3:3" ht="30" customHeight="1" x14ac:dyDescent="0.3">
      <c r="C135" s="7"/>
    </row>
    <row r="136" spans="3:3" ht="30" customHeight="1" x14ac:dyDescent="0.3">
      <c r="C136" s="7"/>
    </row>
    <row r="137" spans="3:3" ht="30" customHeight="1" x14ac:dyDescent="0.3">
      <c r="C137" s="7"/>
    </row>
    <row r="138" spans="3:3" ht="30" customHeight="1" x14ac:dyDescent="0.3">
      <c r="C138" s="7"/>
    </row>
    <row r="139" spans="3:3" ht="30" customHeight="1" x14ac:dyDescent="0.3">
      <c r="C139" s="7"/>
    </row>
    <row r="140" spans="3:3" ht="30" customHeight="1" x14ac:dyDescent="0.3">
      <c r="C140" s="7"/>
    </row>
    <row r="141" spans="3:3" ht="30" customHeight="1" x14ac:dyDescent="0.3">
      <c r="C141" s="7"/>
    </row>
    <row r="142" spans="3:3" ht="30" customHeight="1" x14ac:dyDescent="0.3">
      <c r="C142" s="7"/>
    </row>
    <row r="143" spans="3:3" ht="30" customHeight="1" x14ac:dyDescent="0.3">
      <c r="C143" s="7"/>
    </row>
    <row r="144" spans="3:3" ht="30" customHeight="1" x14ac:dyDescent="0.3">
      <c r="C144" s="7"/>
    </row>
    <row r="145" spans="3:3" ht="30" customHeight="1" x14ac:dyDescent="0.3">
      <c r="C145" s="7"/>
    </row>
    <row r="146" spans="3:3" ht="30" customHeight="1" x14ac:dyDescent="0.3">
      <c r="C146" s="7"/>
    </row>
    <row r="147" spans="3:3" ht="30" customHeight="1" x14ac:dyDescent="0.3">
      <c r="C147" s="7"/>
    </row>
    <row r="148" spans="3:3" ht="30" customHeight="1" x14ac:dyDescent="0.3">
      <c r="C148" s="7"/>
    </row>
    <row r="149" spans="3:3" ht="30" customHeight="1" x14ac:dyDescent="0.3">
      <c r="C149" s="7"/>
    </row>
    <row r="150" spans="3:3" ht="30" customHeight="1" x14ac:dyDescent="0.3">
      <c r="C150" s="7"/>
    </row>
    <row r="151" spans="3:3" ht="30" customHeight="1" x14ac:dyDescent="0.3">
      <c r="C151" s="7"/>
    </row>
    <row r="152" spans="3:3" ht="30" customHeight="1" x14ac:dyDescent="0.3">
      <c r="C152" s="7"/>
    </row>
    <row r="153" spans="3:3" ht="30" customHeight="1" x14ac:dyDescent="0.3">
      <c r="C153" s="7"/>
    </row>
    <row r="154" spans="3:3" ht="30" customHeight="1" x14ac:dyDescent="0.3">
      <c r="C154" s="7"/>
    </row>
    <row r="155" spans="3:3" ht="30" customHeight="1" x14ac:dyDescent="0.3">
      <c r="C155" s="7"/>
    </row>
    <row r="156" spans="3:3" ht="30" customHeight="1" x14ac:dyDescent="0.3">
      <c r="C156" s="7"/>
    </row>
    <row r="157" spans="3:3" ht="30" customHeight="1" x14ac:dyDescent="0.3">
      <c r="C157" s="7"/>
    </row>
    <row r="158" spans="3:3" ht="30" customHeight="1" x14ac:dyDescent="0.3">
      <c r="C158" s="7"/>
    </row>
    <row r="159" spans="3:3" ht="30" customHeight="1" x14ac:dyDescent="0.3">
      <c r="C159" s="7"/>
    </row>
    <row r="160" spans="3:3" ht="30" customHeight="1" x14ac:dyDescent="0.3">
      <c r="C160" s="7"/>
    </row>
    <row r="161" spans="3:3" ht="30" customHeight="1" x14ac:dyDescent="0.3">
      <c r="C161" s="7"/>
    </row>
    <row r="162" spans="3:3" ht="30" customHeight="1" x14ac:dyDescent="0.3">
      <c r="C162" s="7"/>
    </row>
    <row r="163" spans="3:3" ht="30" customHeight="1" x14ac:dyDescent="0.3">
      <c r="C163" s="7"/>
    </row>
    <row r="164" spans="3:3" ht="30" customHeight="1" x14ac:dyDescent="0.3">
      <c r="C164" s="7"/>
    </row>
    <row r="165" spans="3:3" ht="30" customHeight="1" x14ac:dyDescent="0.3">
      <c r="C165" s="7"/>
    </row>
    <row r="166" spans="3:3" ht="30" customHeight="1" x14ac:dyDescent="0.3">
      <c r="C166" s="7"/>
    </row>
    <row r="167" spans="3:3" ht="30" customHeight="1" x14ac:dyDescent="0.3">
      <c r="C167" s="7"/>
    </row>
    <row r="168" spans="3:3" ht="30" customHeight="1" x14ac:dyDescent="0.3">
      <c r="C168" s="7"/>
    </row>
    <row r="169" spans="3:3" ht="30" customHeight="1" x14ac:dyDescent="0.3">
      <c r="C169" s="7"/>
    </row>
    <row r="170" spans="3:3" ht="30" customHeight="1" x14ac:dyDescent="0.3">
      <c r="C170" s="7"/>
    </row>
    <row r="171" spans="3:3" ht="30" customHeight="1" x14ac:dyDescent="0.3">
      <c r="C171" s="7"/>
    </row>
    <row r="172" spans="3:3" ht="30" customHeight="1" x14ac:dyDescent="0.3">
      <c r="C172" s="7"/>
    </row>
    <row r="173" spans="3:3" ht="30" customHeight="1" x14ac:dyDescent="0.3">
      <c r="C173" s="7"/>
    </row>
    <row r="174" spans="3:3" ht="30" customHeight="1" x14ac:dyDescent="0.3">
      <c r="C174" s="7"/>
    </row>
    <row r="175" spans="3:3" ht="30" customHeight="1" x14ac:dyDescent="0.3">
      <c r="C175" s="7"/>
    </row>
    <row r="176" spans="3:3" ht="30" customHeight="1" x14ac:dyDescent="0.3">
      <c r="C176" s="7"/>
    </row>
    <row r="177" spans="3:3" ht="30" customHeight="1" x14ac:dyDescent="0.3">
      <c r="C177" s="7"/>
    </row>
    <row r="178" spans="3:3" ht="30" customHeight="1" x14ac:dyDescent="0.3">
      <c r="C178" s="7"/>
    </row>
    <row r="179" spans="3:3" ht="30" customHeight="1" x14ac:dyDescent="0.3">
      <c r="C179" s="7"/>
    </row>
    <row r="180" spans="3:3" ht="30" customHeight="1" x14ac:dyDescent="0.3">
      <c r="C180" s="7"/>
    </row>
    <row r="181" spans="3:3" ht="30" customHeight="1" x14ac:dyDescent="0.3">
      <c r="C181" s="7"/>
    </row>
    <row r="182" spans="3:3" ht="30" customHeight="1" x14ac:dyDescent="0.3">
      <c r="C182" s="7"/>
    </row>
    <row r="183" spans="3:3" ht="30" customHeight="1" x14ac:dyDescent="0.3">
      <c r="C183" s="7"/>
    </row>
    <row r="184" spans="3:3" ht="30" customHeight="1" x14ac:dyDescent="0.3">
      <c r="C184" s="7"/>
    </row>
    <row r="185" spans="3:3" ht="30" customHeight="1" x14ac:dyDescent="0.3">
      <c r="C185" s="7"/>
    </row>
    <row r="186" spans="3:3" ht="30" customHeight="1" x14ac:dyDescent="0.3">
      <c r="C186" s="7"/>
    </row>
    <row r="187" spans="3:3" ht="30" customHeight="1" x14ac:dyDescent="0.3">
      <c r="C187" s="7"/>
    </row>
    <row r="188" spans="3:3" ht="30" customHeight="1" x14ac:dyDescent="0.3">
      <c r="C188" s="7"/>
    </row>
    <row r="189" spans="3:3" ht="30" customHeight="1" x14ac:dyDescent="0.3">
      <c r="C189" s="7"/>
    </row>
    <row r="190" spans="3:3" ht="30" customHeight="1" x14ac:dyDescent="0.3">
      <c r="C190" s="7"/>
    </row>
    <row r="191" spans="3:3" ht="30" customHeight="1" x14ac:dyDescent="0.3">
      <c r="C191" s="7"/>
    </row>
    <row r="192" spans="3:3" ht="30" customHeight="1" x14ac:dyDescent="0.3">
      <c r="C192" s="7"/>
    </row>
    <row r="193" spans="3:3" ht="30" customHeight="1" x14ac:dyDescent="0.3">
      <c r="C193" s="7"/>
    </row>
    <row r="194" spans="3:3" ht="30" customHeight="1" x14ac:dyDescent="0.3">
      <c r="C194" s="7"/>
    </row>
    <row r="195" spans="3:3" ht="30" customHeight="1" x14ac:dyDescent="0.3">
      <c r="C195" s="7"/>
    </row>
    <row r="196" spans="3:3" ht="30" customHeight="1" x14ac:dyDescent="0.3">
      <c r="C196" s="7"/>
    </row>
    <row r="197" spans="3:3" ht="30" customHeight="1" x14ac:dyDescent="0.3">
      <c r="C197" s="7"/>
    </row>
    <row r="198" spans="3:3" ht="30" customHeight="1" x14ac:dyDescent="0.3">
      <c r="C198" s="7"/>
    </row>
    <row r="199" spans="3:3" ht="30" customHeight="1" x14ac:dyDescent="0.3">
      <c r="C199" s="7"/>
    </row>
    <row r="200" spans="3:3" ht="30" customHeight="1" x14ac:dyDescent="0.3">
      <c r="C200" s="7"/>
    </row>
    <row r="201" spans="3:3" ht="30" customHeight="1" x14ac:dyDescent="0.3">
      <c r="C201" s="7"/>
    </row>
    <row r="202" spans="3:3" ht="30" customHeight="1" x14ac:dyDescent="0.3">
      <c r="C202" s="7"/>
    </row>
    <row r="203" spans="3:3" ht="30" customHeight="1" x14ac:dyDescent="0.3">
      <c r="C203" s="7"/>
    </row>
    <row r="204" spans="3:3" ht="30" customHeight="1" x14ac:dyDescent="0.3">
      <c r="C204" s="7"/>
    </row>
    <row r="205" spans="3:3" ht="30" customHeight="1" x14ac:dyDescent="0.3">
      <c r="C205" s="7"/>
    </row>
    <row r="206" spans="3:3" ht="30" customHeight="1" x14ac:dyDescent="0.3">
      <c r="C206" s="7"/>
    </row>
    <row r="207" spans="3:3" ht="30" customHeight="1" x14ac:dyDescent="0.3">
      <c r="C207" s="7"/>
    </row>
    <row r="208" spans="3:3" ht="30" customHeight="1" x14ac:dyDescent="0.3">
      <c r="C208" s="7"/>
    </row>
    <row r="209" spans="3:3" ht="30" customHeight="1" x14ac:dyDescent="0.3">
      <c r="C209" s="7"/>
    </row>
    <row r="210" spans="3:3" ht="30" customHeight="1" x14ac:dyDescent="0.3">
      <c r="C210" s="7"/>
    </row>
    <row r="211" spans="3:3" ht="30" customHeight="1" x14ac:dyDescent="0.3">
      <c r="C211" s="7"/>
    </row>
    <row r="212" spans="3:3" ht="30" customHeight="1" x14ac:dyDescent="0.3">
      <c r="C212" s="7"/>
    </row>
    <row r="213" spans="3:3" ht="30" customHeight="1" x14ac:dyDescent="0.3">
      <c r="C213" s="7"/>
    </row>
    <row r="214" spans="3:3" ht="30" customHeight="1" x14ac:dyDescent="0.3">
      <c r="C214" s="7"/>
    </row>
    <row r="215" spans="3:3" ht="30" customHeight="1" x14ac:dyDescent="0.3">
      <c r="C215" s="7"/>
    </row>
    <row r="216" spans="3:3" ht="30" customHeight="1" x14ac:dyDescent="0.3">
      <c r="C216" s="7"/>
    </row>
    <row r="217" spans="3:3" ht="30" customHeight="1" x14ac:dyDescent="0.3">
      <c r="C217" s="7"/>
    </row>
    <row r="218" spans="3:3" ht="30" customHeight="1" x14ac:dyDescent="0.3">
      <c r="C218" s="7"/>
    </row>
    <row r="219" spans="3:3" ht="30" customHeight="1" x14ac:dyDescent="0.3">
      <c r="C219" s="7"/>
    </row>
    <row r="220" spans="3:3" ht="30" customHeight="1" x14ac:dyDescent="0.3">
      <c r="C220" s="7"/>
    </row>
    <row r="221" spans="3:3" ht="30" customHeight="1" x14ac:dyDescent="0.3">
      <c r="C221" s="7"/>
    </row>
    <row r="222" spans="3:3" ht="30" customHeight="1" x14ac:dyDescent="0.3">
      <c r="C222" s="7"/>
    </row>
    <row r="223" spans="3:3" ht="30" customHeight="1" x14ac:dyDescent="0.3">
      <c r="C223" s="7"/>
    </row>
    <row r="224" spans="3:3" ht="30" customHeight="1" x14ac:dyDescent="0.3">
      <c r="C224" s="7"/>
    </row>
    <row r="225" spans="3:3" ht="30" customHeight="1" x14ac:dyDescent="0.3">
      <c r="C225" s="7"/>
    </row>
    <row r="226" spans="3:3" ht="30" customHeight="1" x14ac:dyDescent="0.3">
      <c r="C226" s="7"/>
    </row>
    <row r="227" spans="3:3" ht="30" customHeight="1" x14ac:dyDescent="0.3">
      <c r="C227" s="7"/>
    </row>
    <row r="228" spans="3:3" ht="30" customHeight="1" x14ac:dyDescent="0.3">
      <c r="C228" s="7"/>
    </row>
    <row r="229" spans="3:3" ht="30" customHeight="1" x14ac:dyDescent="0.3">
      <c r="C229" s="7"/>
    </row>
    <row r="230" spans="3:3" ht="30" customHeight="1" x14ac:dyDescent="0.3">
      <c r="C230" s="7"/>
    </row>
    <row r="231" spans="3:3" ht="30" customHeight="1" x14ac:dyDescent="0.3">
      <c r="C231" s="7"/>
    </row>
    <row r="232" spans="3:3" ht="30" customHeight="1" x14ac:dyDescent="0.3">
      <c r="C232" s="7"/>
    </row>
    <row r="233" spans="3:3" ht="30" customHeight="1" x14ac:dyDescent="0.3">
      <c r="C233" s="7"/>
    </row>
    <row r="234" spans="3:3" ht="30" customHeight="1" x14ac:dyDescent="0.3">
      <c r="C234" s="7"/>
    </row>
    <row r="235" spans="3:3" ht="30" customHeight="1" x14ac:dyDescent="0.3">
      <c r="C235" s="7"/>
    </row>
    <row r="236" spans="3:3" ht="30" customHeight="1" x14ac:dyDescent="0.3">
      <c r="C236" s="7"/>
    </row>
    <row r="237" spans="3:3" ht="30" customHeight="1" x14ac:dyDescent="0.3">
      <c r="C237" s="7"/>
    </row>
    <row r="238" spans="3:3" ht="30" customHeight="1" x14ac:dyDescent="0.3">
      <c r="C238" s="7"/>
    </row>
    <row r="239" spans="3:3" ht="30" customHeight="1" x14ac:dyDescent="0.3">
      <c r="C239" s="7"/>
    </row>
    <row r="240" spans="3:3" ht="30" customHeight="1" x14ac:dyDescent="0.3">
      <c r="C240" s="7"/>
    </row>
    <row r="241" spans="3:3" ht="30" customHeight="1" x14ac:dyDescent="0.3">
      <c r="C241" s="7"/>
    </row>
    <row r="242" spans="3:3" ht="30" customHeight="1" x14ac:dyDescent="0.3">
      <c r="C242" s="7"/>
    </row>
    <row r="243" spans="3:3" ht="30" customHeight="1" x14ac:dyDescent="0.3">
      <c r="C243" s="7"/>
    </row>
    <row r="244" spans="3:3" ht="30" customHeight="1" x14ac:dyDescent="0.3">
      <c r="C244" s="7"/>
    </row>
    <row r="245" spans="3:3" ht="30" customHeight="1" x14ac:dyDescent="0.3">
      <c r="C245" s="7"/>
    </row>
    <row r="246" spans="3:3" ht="30" customHeight="1" x14ac:dyDescent="0.3">
      <c r="C246" s="7"/>
    </row>
    <row r="247" spans="3:3" ht="30" customHeight="1" x14ac:dyDescent="0.3">
      <c r="C247" s="7"/>
    </row>
    <row r="248" spans="3:3" ht="30" customHeight="1" x14ac:dyDescent="0.3">
      <c r="C248" s="7"/>
    </row>
    <row r="249" spans="3:3" ht="30" customHeight="1" x14ac:dyDescent="0.3">
      <c r="C249" s="7"/>
    </row>
    <row r="250" spans="3:3" ht="30" customHeight="1" x14ac:dyDescent="0.3">
      <c r="C250" s="7"/>
    </row>
    <row r="251" spans="3:3" ht="30" customHeight="1" x14ac:dyDescent="0.3">
      <c r="C251" s="7"/>
    </row>
    <row r="252" spans="3:3" ht="30" customHeight="1" x14ac:dyDescent="0.3">
      <c r="C252" s="7"/>
    </row>
    <row r="253" spans="3:3" ht="30" customHeight="1" x14ac:dyDescent="0.3">
      <c r="C253" s="7"/>
    </row>
    <row r="254" spans="3:3" ht="30" customHeight="1" x14ac:dyDescent="0.3">
      <c r="C254" s="7"/>
    </row>
    <row r="255" spans="3:3" ht="30" customHeight="1" x14ac:dyDescent="0.3">
      <c r="C255" s="7"/>
    </row>
    <row r="256" spans="3:3" ht="30" customHeight="1" x14ac:dyDescent="0.3">
      <c r="C256" s="7"/>
    </row>
    <row r="257" spans="3:3" ht="30" customHeight="1" x14ac:dyDescent="0.3">
      <c r="C257" s="7"/>
    </row>
    <row r="258" spans="3:3" ht="30" customHeight="1" x14ac:dyDescent="0.3">
      <c r="C258" s="7"/>
    </row>
    <row r="259" spans="3:3" ht="30" customHeight="1" x14ac:dyDescent="0.3">
      <c r="C259" s="7"/>
    </row>
    <row r="260" spans="3:3" ht="30" customHeight="1" x14ac:dyDescent="0.3">
      <c r="C260" s="7"/>
    </row>
    <row r="261" spans="3:3" ht="30" customHeight="1" x14ac:dyDescent="0.3">
      <c r="C261" s="7"/>
    </row>
    <row r="262" spans="3:3" ht="30" customHeight="1" x14ac:dyDescent="0.3">
      <c r="C262" s="7"/>
    </row>
    <row r="263" spans="3:3" ht="30" customHeight="1" x14ac:dyDescent="0.3">
      <c r="C263" s="7"/>
    </row>
    <row r="264" spans="3:3" ht="30" customHeight="1" x14ac:dyDescent="0.3">
      <c r="C264" s="7"/>
    </row>
    <row r="265" spans="3:3" ht="30" customHeight="1" x14ac:dyDescent="0.3">
      <c r="C265" s="7"/>
    </row>
    <row r="266" spans="3:3" ht="30" customHeight="1" x14ac:dyDescent="0.3">
      <c r="C266" s="7"/>
    </row>
    <row r="267" spans="3:3" ht="30" customHeight="1" x14ac:dyDescent="0.3">
      <c r="C267" s="7"/>
    </row>
    <row r="268" spans="3:3" ht="30" customHeight="1" x14ac:dyDescent="0.3">
      <c r="C268" s="7"/>
    </row>
    <row r="269" spans="3:3" ht="30" customHeight="1" x14ac:dyDescent="0.3">
      <c r="C269" s="7"/>
    </row>
    <row r="270" spans="3:3" ht="30" customHeight="1" x14ac:dyDescent="0.3">
      <c r="C270" s="7"/>
    </row>
    <row r="271" spans="3:3" ht="30" customHeight="1" x14ac:dyDescent="0.3">
      <c r="C271" s="7"/>
    </row>
    <row r="272" spans="3:3" ht="30" customHeight="1" x14ac:dyDescent="0.3">
      <c r="C272" s="7"/>
    </row>
    <row r="273" spans="3:3" ht="30" customHeight="1" x14ac:dyDescent="0.3">
      <c r="C273" s="7"/>
    </row>
    <row r="274" spans="3:3" ht="30" customHeight="1" x14ac:dyDescent="0.3">
      <c r="C274" s="7"/>
    </row>
    <row r="275" spans="3:3" ht="30" customHeight="1" x14ac:dyDescent="0.3">
      <c r="C275" s="7"/>
    </row>
    <row r="276" spans="3:3" ht="30" customHeight="1" x14ac:dyDescent="0.3">
      <c r="C276" s="7"/>
    </row>
    <row r="277" spans="3:3" ht="30" customHeight="1" x14ac:dyDescent="0.3">
      <c r="C277" s="7"/>
    </row>
    <row r="278" spans="3:3" ht="30" customHeight="1" x14ac:dyDescent="0.3">
      <c r="C278" s="7"/>
    </row>
    <row r="279" spans="3:3" ht="30" customHeight="1" x14ac:dyDescent="0.3">
      <c r="C279" s="7"/>
    </row>
    <row r="280" spans="3:3" ht="30" customHeight="1" x14ac:dyDescent="0.3">
      <c r="C280" s="7"/>
    </row>
    <row r="281" spans="3:3" ht="30" customHeight="1" x14ac:dyDescent="0.3">
      <c r="C281" s="7"/>
    </row>
    <row r="282" spans="3:3" ht="30" customHeight="1" x14ac:dyDescent="0.3">
      <c r="C282" s="7"/>
    </row>
    <row r="283" spans="3:3" ht="30" customHeight="1" x14ac:dyDescent="0.3">
      <c r="C283" s="7"/>
    </row>
    <row r="284" spans="3:3" ht="30" customHeight="1" x14ac:dyDescent="0.3">
      <c r="C284" s="7"/>
    </row>
    <row r="285" spans="3:3" ht="30" customHeight="1" x14ac:dyDescent="0.3">
      <c r="C285" s="7"/>
    </row>
    <row r="286" spans="3:3" ht="30" customHeight="1" x14ac:dyDescent="0.3">
      <c r="C286" s="7"/>
    </row>
    <row r="287" spans="3:3" ht="30" customHeight="1" x14ac:dyDescent="0.3">
      <c r="C287" s="7"/>
    </row>
    <row r="288" spans="3:3" ht="30" customHeight="1" x14ac:dyDescent="0.3">
      <c r="C288" s="7"/>
    </row>
    <row r="289" spans="3:3" ht="30" customHeight="1" x14ac:dyDescent="0.3">
      <c r="C289" s="7"/>
    </row>
    <row r="290" spans="3:3" ht="30" customHeight="1" x14ac:dyDescent="0.3">
      <c r="C290" s="7"/>
    </row>
    <row r="291" spans="3:3" ht="30" customHeight="1" x14ac:dyDescent="0.3">
      <c r="C291" s="7"/>
    </row>
    <row r="292" spans="3:3" ht="30" customHeight="1" x14ac:dyDescent="0.3">
      <c r="C292" s="7"/>
    </row>
    <row r="293" spans="3:3" ht="30" customHeight="1" x14ac:dyDescent="0.3">
      <c r="C293" s="7"/>
    </row>
    <row r="294" spans="3:3" ht="30" customHeight="1" x14ac:dyDescent="0.3">
      <c r="C294" s="7"/>
    </row>
    <row r="295" spans="3:3" ht="30" customHeight="1" x14ac:dyDescent="0.3">
      <c r="C295" s="7"/>
    </row>
    <row r="296" spans="3:3" ht="30" customHeight="1" x14ac:dyDescent="0.3">
      <c r="C296" s="7"/>
    </row>
    <row r="297" spans="3:3" ht="30" customHeight="1" x14ac:dyDescent="0.3">
      <c r="C297" s="7"/>
    </row>
    <row r="298" spans="3:3" ht="30" customHeight="1" x14ac:dyDescent="0.3">
      <c r="C298" s="7"/>
    </row>
    <row r="299" spans="3:3" ht="30" customHeight="1" x14ac:dyDescent="0.3">
      <c r="C299" s="7"/>
    </row>
    <row r="300" spans="3:3" ht="30" customHeight="1" x14ac:dyDescent="0.3">
      <c r="C300" s="7"/>
    </row>
    <row r="301" spans="3:3" ht="30" customHeight="1" x14ac:dyDescent="0.3">
      <c r="C301" s="7"/>
    </row>
    <row r="302" spans="3:3" ht="30" customHeight="1" x14ac:dyDescent="0.3">
      <c r="C302" s="7"/>
    </row>
    <row r="303" spans="3:3" ht="30" customHeight="1" x14ac:dyDescent="0.3">
      <c r="C303" s="7"/>
    </row>
    <row r="304" spans="3:3" ht="30" customHeight="1" x14ac:dyDescent="0.3">
      <c r="C304" s="7"/>
    </row>
    <row r="305" spans="3:3" ht="30" customHeight="1" x14ac:dyDescent="0.3">
      <c r="C305" s="7"/>
    </row>
    <row r="306" spans="3:3" ht="30" customHeight="1" x14ac:dyDescent="0.3">
      <c r="C306" s="7"/>
    </row>
    <row r="307" spans="3:3" ht="30" customHeight="1" x14ac:dyDescent="0.3">
      <c r="C307" s="7"/>
    </row>
    <row r="308" spans="3:3" ht="30" customHeight="1" x14ac:dyDescent="0.3">
      <c r="C308" s="7"/>
    </row>
    <row r="309" spans="3:3" ht="30" customHeight="1" x14ac:dyDescent="0.3">
      <c r="C309" s="7"/>
    </row>
    <row r="310" spans="3:3" ht="30" customHeight="1" x14ac:dyDescent="0.3">
      <c r="C310" s="7"/>
    </row>
    <row r="311" spans="3:3" ht="30" customHeight="1" x14ac:dyDescent="0.3">
      <c r="C311" s="7"/>
    </row>
    <row r="312" spans="3:3" ht="30" customHeight="1" x14ac:dyDescent="0.3">
      <c r="C312" s="7"/>
    </row>
    <row r="313" spans="3:3" ht="30" customHeight="1" x14ac:dyDescent="0.3">
      <c r="C313" s="7"/>
    </row>
    <row r="314" spans="3:3" ht="30" customHeight="1" x14ac:dyDescent="0.3">
      <c r="C314" s="7"/>
    </row>
    <row r="315" spans="3:3" ht="30" customHeight="1" x14ac:dyDescent="0.3">
      <c r="C315" s="7"/>
    </row>
    <row r="316" spans="3:3" ht="30" customHeight="1" x14ac:dyDescent="0.3">
      <c r="C316" s="7"/>
    </row>
    <row r="317" spans="3:3" ht="30" customHeight="1" x14ac:dyDescent="0.3">
      <c r="C317" s="7"/>
    </row>
    <row r="318" spans="3:3" ht="30" customHeight="1" x14ac:dyDescent="0.3">
      <c r="C318" s="7"/>
    </row>
    <row r="319" spans="3:3" ht="30" customHeight="1" x14ac:dyDescent="0.3">
      <c r="C319" s="7"/>
    </row>
    <row r="320" spans="3:3" ht="30" customHeight="1" x14ac:dyDescent="0.3">
      <c r="C320" s="7"/>
    </row>
    <row r="321" spans="3:3" ht="30" customHeight="1" x14ac:dyDescent="0.3">
      <c r="C321" s="7"/>
    </row>
    <row r="322" spans="3:3" ht="30" customHeight="1" x14ac:dyDescent="0.3">
      <c r="C322" s="7"/>
    </row>
    <row r="323" spans="3:3" ht="30" customHeight="1" x14ac:dyDescent="0.3">
      <c r="C323" s="7"/>
    </row>
    <row r="324" spans="3:3" ht="30" customHeight="1" x14ac:dyDescent="0.3">
      <c r="C324" s="7"/>
    </row>
    <row r="325" spans="3:3" ht="30" customHeight="1" x14ac:dyDescent="0.3">
      <c r="C325" s="7"/>
    </row>
    <row r="326" spans="3:3" ht="30" customHeight="1" x14ac:dyDescent="0.3">
      <c r="C326" s="7"/>
    </row>
    <row r="327" spans="3:3" ht="30" customHeight="1" x14ac:dyDescent="0.3">
      <c r="C327" s="7"/>
    </row>
    <row r="328" spans="3:3" ht="30" customHeight="1" x14ac:dyDescent="0.3">
      <c r="C328" s="7"/>
    </row>
    <row r="329" spans="3:3" ht="30" customHeight="1" x14ac:dyDescent="0.3">
      <c r="C329" s="7"/>
    </row>
    <row r="330" spans="3:3" ht="30" customHeight="1" x14ac:dyDescent="0.3">
      <c r="C330" s="7"/>
    </row>
    <row r="331" spans="3:3" ht="30" customHeight="1" x14ac:dyDescent="0.3">
      <c r="C331" s="7"/>
    </row>
    <row r="332" spans="3:3" ht="30" customHeight="1" x14ac:dyDescent="0.3">
      <c r="C332" s="7"/>
    </row>
    <row r="333" spans="3:3" ht="30" customHeight="1" x14ac:dyDescent="0.3">
      <c r="C333" s="7"/>
    </row>
    <row r="334" spans="3:3" ht="30" customHeight="1" x14ac:dyDescent="0.3">
      <c r="C334" s="7"/>
    </row>
    <row r="335" spans="3:3" ht="30" customHeight="1" x14ac:dyDescent="0.3">
      <c r="C335" s="7"/>
    </row>
    <row r="336" spans="3:3" ht="30" customHeight="1" x14ac:dyDescent="0.3">
      <c r="C336" s="7"/>
    </row>
    <row r="337" spans="3:3" ht="30" customHeight="1" x14ac:dyDescent="0.3">
      <c r="C337" s="7"/>
    </row>
    <row r="338" spans="3:3" ht="30" customHeight="1" x14ac:dyDescent="0.3">
      <c r="C338" s="7"/>
    </row>
    <row r="339" spans="3:3" ht="30" customHeight="1" x14ac:dyDescent="0.3">
      <c r="C339" s="7"/>
    </row>
    <row r="340" spans="3:3" ht="30" customHeight="1" x14ac:dyDescent="0.3">
      <c r="C340" s="7"/>
    </row>
    <row r="341" spans="3:3" ht="30" customHeight="1" x14ac:dyDescent="0.3">
      <c r="C341" s="7"/>
    </row>
    <row r="342" spans="3:3" ht="30" customHeight="1" x14ac:dyDescent="0.3">
      <c r="C342" s="7"/>
    </row>
    <row r="343" spans="3:3" ht="30" customHeight="1" x14ac:dyDescent="0.3">
      <c r="C343" s="7"/>
    </row>
    <row r="344" spans="3:3" ht="30" customHeight="1" x14ac:dyDescent="0.3">
      <c r="C344" s="7"/>
    </row>
    <row r="345" spans="3:3" ht="30" customHeight="1" x14ac:dyDescent="0.3">
      <c r="C345" s="7"/>
    </row>
    <row r="346" spans="3:3" ht="30" customHeight="1" x14ac:dyDescent="0.3">
      <c r="C346" s="7"/>
    </row>
    <row r="347" spans="3:3" ht="30" customHeight="1" x14ac:dyDescent="0.3">
      <c r="C347" s="7"/>
    </row>
    <row r="348" spans="3:3" ht="30" customHeight="1" x14ac:dyDescent="0.3">
      <c r="C348" s="7"/>
    </row>
    <row r="349" spans="3:3" ht="30" customHeight="1" x14ac:dyDescent="0.3">
      <c r="C349" s="7"/>
    </row>
    <row r="350" spans="3:3" ht="30" customHeight="1" x14ac:dyDescent="0.3">
      <c r="C350" s="7"/>
    </row>
    <row r="351" spans="3:3" ht="30" customHeight="1" x14ac:dyDescent="0.3">
      <c r="C351" s="7"/>
    </row>
    <row r="352" spans="3:3" ht="30" customHeight="1" x14ac:dyDescent="0.3">
      <c r="C352" s="7"/>
    </row>
    <row r="353" spans="3:3" ht="30" customHeight="1" x14ac:dyDescent="0.3">
      <c r="C353" s="7"/>
    </row>
    <row r="354" spans="3:3" ht="30" customHeight="1" x14ac:dyDescent="0.3">
      <c r="C354" s="7"/>
    </row>
    <row r="355" spans="3:3" ht="30" customHeight="1" x14ac:dyDescent="0.3">
      <c r="C355" s="7"/>
    </row>
    <row r="356" spans="3:3" ht="30" customHeight="1" x14ac:dyDescent="0.3">
      <c r="C356" s="7"/>
    </row>
    <row r="357" spans="3:3" ht="30" customHeight="1" x14ac:dyDescent="0.3">
      <c r="C357" s="7"/>
    </row>
    <row r="358" spans="3:3" ht="30" customHeight="1" x14ac:dyDescent="0.3">
      <c r="C358" s="7"/>
    </row>
    <row r="359" spans="3:3" ht="30" customHeight="1" x14ac:dyDescent="0.3">
      <c r="C359" s="7"/>
    </row>
    <row r="360" spans="3:3" ht="30" customHeight="1" x14ac:dyDescent="0.3">
      <c r="C360" s="7"/>
    </row>
    <row r="361" spans="3:3" ht="30" customHeight="1" x14ac:dyDescent="0.3">
      <c r="C361" s="7"/>
    </row>
    <row r="362" spans="3:3" ht="30" customHeight="1" x14ac:dyDescent="0.3">
      <c r="C362" s="7"/>
    </row>
    <row r="363" spans="3:3" ht="30" customHeight="1" x14ac:dyDescent="0.3">
      <c r="C363" s="7"/>
    </row>
    <row r="364" spans="3:3" ht="30" customHeight="1" x14ac:dyDescent="0.3">
      <c r="C364" s="7"/>
    </row>
    <row r="365" spans="3:3" ht="30" customHeight="1" x14ac:dyDescent="0.3">
      <c r="C365" s="7"/>
    </row>
    <row r="366" spans="3:3" ht="30" customHeight="1" x14ac:dyDescent="0.3">
      <c r="C366" s="7"/>
    </row>
    <row r="367" spans="3:3" ht="30" customHeight="1" x14ac:dyDescent="0.3">
      <c r="C367" s="7"/>
    </row>
    <row r="368" spans="3:3" ht="30" customHeight="1" x14ac:dyDescent="0.3">
      <c r="C368" s="7"/>
    </row>
    <row r="369" spans="3:3" ht="30" customHeight="1" x14ac:dyDescent="0.3">
      <c r="C369" s="7"/>
    </row>
    <row r="370" spans="3:3" ht="30" customHeight="1" x14ac:dyDescent="0.3">
      <c r="C370" s="7"/>
    </row>
    <row r="371" spans="3:3" ht="30" customHeight="1" x14ac:dyDescent="0.3">
      <c r="C371" s="7"/>
    </row>
    <row r="372" spans="3:3" ht="30" customHeight="1" x14ac:dyDescent="0.3">
      <c r="C372" s="7"/>
    </row>
    <row r="373" spans="3:3" ht="30" customHeight="1" x14ac:dyDescent="0.3">
      <c r="C373" s="7"/>
    </row>
    <row r="374" spans="3:3" ht="30" customHeight="1" x14ac:dyDescent="0.3">
      <c r="C374" s="7"/>
    </row>
    <row r="375" spans="3:3" ht="30" customHeight="1" x14ac:dyDescent="0.3">
      <c r="C375" s="7"/>
    </row>
    <row r="376" spans="3:3" ht="30" customHeight="1" x14ac:dyDescent="0.3">
      <c r="C376" s="7"/>
    </row>
    <row r="377" spans="3:3" ht="30" customHeight="1" x14ac:dyDescent="0.3">
      <c r="C377" s="7"/>
    </row>
    <row r="378" spans="3:3" ht="30" customHeight="1" x14ac:dyDescent="0.3">
      <c r="C378" s="7"/>
    </row>
    <row r="379" spans="3:3" ht="30" customHeight="1" x14ac:dyDescent="0.3">
      <c r="C379" s="7"/>
    </row>
    <row r="380" spans="3:3" ht="30" customHeight="1" x14ac:dyDescent="0.3">
      <c r="C380" s="7"/>
    </row>
    <row r="381" spans="3:3" ht="30" customHeight="1" x14ac:dyDescent="0.3">
      <c r="C381" s="7"/>
    </row>
    <row r="382" spans="3:3" ht="30" customHeight="1" x14ac:dyDescent="0.3">
      <c r="C382" s="7"/>
    </row>
    <row r="383" spans="3:3" ht="30" customHeight="1" x14ac:dyDescent="0.3">
      <c r="C383" s="7"/>
    </row>
    <row r="384" spans="3:3" ht="30" customHeight="1" x14ac:dyDescent="0.3">
      <c r="C384" s="7"/>
    </row>
    <row r="385" spans="3:3" ht="30" customHeight="1" x14ac:dyDescent="0.3">
      <c r="C385" s="7"/>
    </row>
    <row r="386" spans="3:3" ht="30" customHeight="1" x14ac:dyDescent="0.3">
      <c r="C386" s="7"/>
    </row>
    <row r="387" spans="3:3" ht="30" customHeight="1" x14ac:dyDescent="0.3">
      <c r="C387" s="7"/>
    </row>
    <row r="388" spans="3:3" ht="30" customHeight="1" x14ac:dyDescent="0.3">
      <c r="C388" s="7"/>
    </row>
    <row r="389" spans="3:3" ht="30" customHeight="1" x14ac:dyDescent="0.3">
      <c r="C389" s="7"/>
    </row>
    <row r="390" spans="3:3" ht="30" customHeight="1" x14ac:dyDescent="0.3">
      <c r="C390" s="7"/>
    </row>
    <row r="391" spans="3:3" ht="30" customHeight="1" x14ac:dyDescent="0.3">
      <c r="C391" s="7"/>
    </row>
    <row r="392" spans="3:3" ht="30" customHeight="1" x14ac:dyDescent="0.3">
      <c r="C392" s="7"/>
    </row>
    <row r="393" spans="3:3" ht="30" customHeight="1" x14ac:dyDescent="0.3">
      <c r="C393" s="7"/>
    </row>
    <row r="394" spans="3:3" ht="30" customHeight="1" x14ac:dyDescent="0.3">
      <c r="C394" s="7"/>
    </row>
    <row r="395" spans="3:3" ht="30" customHeight="1" x14ac:dyDescent="0.3">
      <c r="C395" s="7"/>
    </row>
    <row r="396" spans="3:3" ht="30" customHeight="1" x14ac:dyDescent="0.3">
      <c r="C396" s="7"/>
    </row>
    <row r="397" spans="3:3" ht="30" customHeight="1" x14ac:dyDescent="0.3">
      <c r="C397" s="7"/>
    </row>
    <row r="398" spans="3:3" ht="30" customHeight="1" x14ac:dyDescent="0.3">
      <c r="C398" s="7"/>
    </row>
    <row r="399" spans="3:3" ht="30" customHeight="1" x14ac:dyDescent="0.3">
      <c r="C399" s="7"/>
    </row>
    <row r="400" spans="3:3" ht="30" customHeight="1" x14ac:dyDescent="0.3">
      <c r="C400" s="7"/>
    </row>
    <row r="401" spans="3:3" ht="30" customHeight="1" x14ac:dyDescent="0.3">
      <c r="C401" s="7"/>
    </row>
    <row r="402" spans="3:3" ht="30" customHeight="1" x14ac:dyDescent="0.3">
      <c r="C402" s="7"/>
    </row>
    <row r="403" spans="3:3" ht="30" customHeight="1" x14ac:dyDescent="0.3">
      <c r="C403" s="7"/>
    </row>
    <row r="404" spans="3:3" ht="30" customHeight="1" x14ac:dyDescent="0.3">
      <c r="C404" s="7"/>
    </row>
    <row r="405" spans="3:3" ht="30" customHeight="1" x14ac:dyDescent="0.3">
      <c r="C405" s="7"/>
    </row>
    <row r="406" spans="3:3" ht="30" customHeight="1" x14ac:dyDescent="0.3">
      <c r="C406" s="7"/>
    </row>
    <row r="407" spans="3:3" ht="30" customHeight="1" x14ac:dyDescent="0.3">
      <c r="C407" s="7"/>
    </row>
    <row r="408" spans="3:3" ht="30" customHeight="1" x14ac:dyDescent="0.3">
      <c r="C408" s="7"/>
    </row>
    <row r="409" spans="3:3" ht="30" customHeight="1" x14ac:dyDescent="0.3">
      <c r="C409" s="7"/>
    </row>
    <row r="410" spans="3:3" ht="30" customHeight="1" x14ac:dyDescent="0.3">
      <c r="C410" s="7"/>
    </row>
    <row r="411" spans="3:3" ht="30" customHeight="1" x14ac:dyDescent="0.3">
      <c r="C411" s="7"/>
    </row>
    <row r="412" spans="3:3" ht="30" customHeight="1" x14ac:dyDescent="0.3">
      <c r="C412" s="7"/>
    </row>
    <row r="413" spans="3:3" ht="30" customHeight="1" x14ac:dyDescent="0.3">
      <c r="C413" s="7"/>
    </row>
    <row r="414" spans="3:3" ht="30" customHeight="1" x14ac:dyDescent="0.3">
      <c r="C414" s="7"/>
    </row>
    <row r="415" spans="3:3" ht="30" customHeight="1" x14ac:dyDescent="0.3">
      <c r="C415" s="7"/>
    </row>
    <row r="416" spans="3:3" ht="30" customHeight="1" x14ac:dyDescent="0.3">
      <c r="C416" s="7"/>
    </row>
    <row r="417" spans="3:3" ht="30" customHeight="1" x14ac:dyDescent="0.3">
      <c r="C417" s="7"/>
    </row>
    <row r="418" spans="3:3" ht="30" customHeight="1" x14ac:dyDescent="0.3">
      <c r="C418" s="7"/>
    </row>
    <row r="419" spans="3:3" ht="30" customHeight="1" x14ac:dyDescent="0.3">
      <c r="C419" s="7"/>
    </row>
    <row r="420" spans="3:3" ht="30" customHeight="1" x14ac:dyDescent="0.3">
      <c r="C420" s="7"/>
    </row>
    <row r="421" spans="3:3" ht="30" customHeight="1" x14ac:dyDescent="0.3">
      <c r="C421" s="7"/>
    </row>
    <row r="422" spans="3:3" ht="30" customHeight="1" x14ac:dyDescent="0.3">
      <c r="C422" s="7"/>
    </row>
    <row r="423" spans="3:3" ht="30" customHeight="1" x14ac:dyDescent="0.3">
      <c r="C423" s="7"/>
    </row>
    <row r="424" spans="3:3" ht="30" customHeight="1" x14ac:dyDescent="0.3">
      <c r="C424" s="7"/>
    </row>
    <row r="425" spans="3:3" ht="30" customHeight="1" x14ac:dyDescent="0.3">
      <c r="C425" s="7"/>
    </row>
    <row r="426" spans="3:3" ht="30" customHeight="1" x14ac:dyDescent="0.3">
      <c r="C426" s="7"/>
    </row>
    <row r="427" spans="3:3" ht="30" customHeight="1" x14ac:dyDescent="0.3">
      <c r="C427" s="7"/>
    </row>
    <row r="428" spans="3:3" ht="30" customHeight="1" x14ac:dyDescent="0.3">
      <c r="C428" s="7"/>
    </row>
    <row r="429" spans="3:3" ht="30" customHeight="1" x14ac:dyDescent="0.3">
      <c r="C429" s="7"/>
    </row>
    <row r="430" spans="3:3" ht="30" customHeight="1" x14ac:dyDescent="0.3">
      <c r="C430" s="7"/>
    </row>
    <row r="431" spans="3:3" ht="30" customHeight="1" x14ac:dyDescent="0.3">
      <c r="C431" s="7"/>
    </row>
    <row r="432" spans="3:3" ht="30" customHeight="1" x14ac:dyDescent="0.3">
      <c r="C432" s="7"/>
    </row>
    <row r="433" spans="3:3" ht="30" customHeight="1" x14ac:dyDescent="0.3">
      <c r="C433" s="7"/>
    </row>
    <row r="434" spans="3:3" ht="30" customHeight="1" x14ac:dyDescent="0.3">
      <c r="C434" s="7"/>
    </row>
    <row r="435" spans="3:3" ht="30" customHeight="1" x14ac:dyDescent="0.3">
      <c r="C435" s="7"/>
    </row>
    <row r="436" spans="3:3" ht="30" customHeight="1" x14ac:dyDescent="0.3">
      <c r="C436" s="7"/>
    </row>
    <row r="437" spans="3:3" ht="30" customHeight="1" x14ac:dyDescent="0.3">
      <c r="C437" s="7"/>
    </row>
    <row r="438" spans="3:3" ht="30" customHeight="1" x14ac:dyDescent="0.3">
      <c r="C438" s="7"/>
    </row>
    <row r="439" spans="3:3" ht="30" customHeight="1" x14ac:dyDescent="0.3">
      <c r="C439" s="7"/>
    </row>
    <row r="440" spans="3:3" ht="30" customHeight="1" x14ac:dyDescent="0.3">
      <c r="C440" s="7"/>
    </row>
    <row r="441" spans="3:3" ht="30" customHeight="1" x14ac:dyDescent="0.3">
      <c r="C441" s="7"/>
    </row>
    <row r="442" spans="3:3" ht="30" customHeight="1" x14ac:dyDescent="0.3">
      <c r="C442" s="7"/>
    </row>
    <row r="443" spans="3:3" ht="30" customHeight="1" x14ac:dyDescent="0.3">
      <c r="C443" s="7"/>
    </row>
    <row r="444" spans="3:3" ht="30" customHeight="1" x14ac:dyDescent="0.3">
      <c r="C444" s="7"/>
    </row>
    <row r="445" spans="3:3" ht="30" customHeight="1" x14ac:dyDescent="0.3">
      <c r="C445" s="7"/>
    </row>
    <row r="446" spans="3:3" ht="30" customHeight="1" x14ac:dyDescent="0.3">
      <c r="C446" s="7"/>
    </row>
    <row r="447" spans="3:3" ht="30" customHeight="1" x14ac:dyDescent="0.3">
      <c r="C447" s="7"/>
    </row>
    <row r="448" spans="3:3" ht="30" customHeight="1" x14ac:dyDescent="0.3">
      <c r="C448" s="7"/>
    </row>
    <row r="449" spans="3:3" ht="30" customHeight="1" x14ac:dyDescent="0.3">
      <c r="C449" s="7"/>
    </row>
    <row r="450" spans="3:3" ht="30" customHeight="1" x14ac:dyDescent="0.3">
      <c r="C450" s="7"/>
    </row>
    <row r="451" spans="3:3" ht="30" customHeight="1" x14ac:dyDescent="0.3">
      <c r="C451" s="7"/>
    </row>
    <row r="452" spans="3:3" ht="30" customHeight="1" x14ac:dyDescent="0.3">
      <c r="C452" s="7"/>
    </row>
    <row r="453" spans="3:3" ht="30" customHeight="1" x14ac:dyDescent="0.3">
      <c r="C453" s="7"/>
    </row>
    <row r="454" spans="3:3" ht="30" customHeight="1" x14ac:dyDescent="0.3">
      <c r="C454" s="7"/>
    </row>
    <row r="455" spans="3:3" ht="30" customHeight="1" x14ac:dyDescent="0.3">
      <c r="C455" s="7"/>
    </row>
    <row r="456" spans="3:3" ht="30" customHeight="1" x14ac:dyDescent="0.3">
      <c r="C456" s="7"/>
    </row>
    <row r="457" spans="3:3" ht="30" customHeight="1" x14ac:dyDescent="0.3">
      <c r="C457" s="7"/>
    </row>
    <row r="458" spans="3:3" ht="30" customHeight="1" x14ac:dyDescent="0.3">
      <c r="C458" s="7"/>
    </row>
    <row r="459" spans="3:3" ht="30" customHeight="1" x14ac:dyDescent="0.3">
      <c r="C459" s="7"/>
    </row>
    <row r="460" spans="3:3" ht="30" customHeight="1" x14ac:dyDescent="0.3">
      <c r="C460" s="7"/>
    </row>
    <row r="461" spans="3:3" ht="30" customHeight="1" x14ac:dyDescent="0.3">
      <c r="C461" s="7"/>
    </row>
    <row r="462" spans="3:3" ht="30" customHeight="1" x14ac:dyDescent="0.3">
      <c r="C462" s="7"/>
    </row>
    <row r="463" spans="3:3" ht="30" customHeight="1" x14ac:dyDescent="0.3">
      <c r="C463" s="7"/>
    </row>
    <row r="464" spans="3:3" ht="30" customHeight="1" x14ac:dyDescent="0.3">
      <c r="C464" s="7"/>
    </row>
    <row r="465" spans="3:3" ht="30" customHeight="1" x14ac:dyDescent="0.3">
      <c r="C465" s="7"/>
    </row>
    <row r="466" spans="3:3" ht="30" customHeight="1" x14ac:dyDescent="0.3">
      <c r="C466" s="7"/>
    </row>
    <row r="467" spans="3:3" ht="30" customHeight="1" x14ac:dyDescent="0.3">
      <c r="C467" s="7"/>
    </row>
    <row r="468" spans="3:3" ht="30" customHeight="1" x14ac:dyDescent="0.3">
      <c r="C468" s="7"/>
    </row>
    <row r="469" spans="3:3" ht="30" customHeight="1" x14ac:dyDescent="0.3">
      <c r="C469" s="7"/>
    </row>
    <row r="470" spans="3:3" ht="30" customHeight="1" x14ac:dyDescent="0.3">
      <c r="C470" s="7"/>
    </row>
    <row r="471" spans="3:3" ht="30" customHeight="1" x14ac:dyDescent="0.3">
      <c r="C471" s="7"/>
    </row>
    <row r="472" spans="3:3" ht="30" customHeight="1" x14ac:dyDescent="0.3">
      <c r="C472" s="7"/>
    </row>
    <row r="473" spans="3:3" ht="30" customHeight="1" x14ac:dyDescent="0.3">
      <c r="C473" s="7"/>
    </row>
    <row r="474" spans="3:3" ht="30" customHeight="1" x14ac:dyDescent="0.3">
      <c r="C474" s="7"/>
    </row>
    <row r="475" spans="3:3" ht="30" customHeight="1" x14ac:dyDescent="0.3">
      <c r="C475" s="7"/>
    </row>
    <row r="476" spans="3:3" ht="30" customHeight="1" x14ac:dyDescent="0.3">
      <c r="C476" s="7"/>
    </row>
    <row r="477" spans="3:3" ht="30" customHeight="1" x14ac:dyDescent="0.3">
      <c r="C477" s="7"/>
    </row>
    <row r="478" spans="3:3" ht="30" customHeight="1" x14ac:dyDescent="0.3">
      <c r="C478" s="7"/>
    </row>
    <row r="479" spans="3:3" ht="30" customHeight="1" x14ac:dyDescent="0.3">
      <c r="C479" s="7"/>
    </row>
    <row r="480" spans="3:3" ht="30" customHeight="1" x14ac:dyDescent="0.3">
      <c r="C480" s="7"/>
    </row>
    <row r="481" spans="3:3" ht="30" customHeight="1" x14ac:dyDescent="0.3">
      <c r="C481" s="7"/>
    </row>
    <row r="482" spans="3:3" ht="30" customHeight="1" x14ac:dyDescent="0.3">
      <c r="C482" s="7"/>
    </row>
    <row r="483" spans="3:3" ht="30" customHeight="1" x14ac:dyDescent="0.3">
      <c r="C483" s="7"/>
    </row>
    <row r="484" spans="3:3" ht="30" customHeight="1" x14ac:dyDescent="0.3">
      <c r="C484" s="7"/>
    </row>
    <row r="485" spans="3:3" ht="30" customHeight="1" x14ac:dyDescent="0.3">
      <c r="C485" s="7"/>
    </row>
    <row r="486" spans="3:3" ht="30" customHeight="1" x14ac:dyDescent="0.3">
      <c r="C486" s="7"/>
    </row>
    <row r="487" spans="3:3" ht="30" customHeight="1" x14ac:dyDescent="0.3">
      <c r="C487" s="7"/>
    </row>
    <row r="488" spans="3:3" ht="30" customHeight="1" x14ac:dyDescent="0.3">
      <c r="C488" s="7"/>
    </row>
    <row r="489" spans="3:3" ht="30" customHeight="1" x14ac:dyDescent="0.3">
      <c r="C489" s="7"/>
    </row>
    <row r="490" spans="3:3" ht="30" customHeight="1" x14ac:dyDescent="0.3">
      <c r="C490" s="7"/>
    </row>
    <row r="491" spans="3:3" ht="30" customHeight="1" x14ac:dyDescent="0.3">
      <c r="C491" s="7"/>
    </row>
    <row r="492" spans="3:3" ht="30" customHeight="1" x14ac:dyDescent="0.3">
      <c r="C492" s="7"/>
    </row>
    <row r="493" spans="3:3" ht="30" customHeight="1" x14ac:dyDescent="0.3">
      <c r="C493" s="7"/>
    </row>
    <row r="494" spans="3:3" ht="30" customHeight="1" x14ac:dyDescent="0.3">
      <c r="C494" s="7"/>
    </row>
    <row r="495" spans="3:3" ht="30" customHeight="1" x14ac:dyDescent="0.3">
      <c r="C495" s="7"/>
    </row>
    <row r="496" spans="3:3" ht="30" customHeight="1" x14ac:dyDescent="0.3">
      <c r="C496" s="7"/>
    </row>
    <row r="497" spans="3:3" ht="30" customHeight="1" x14ac:dyDescent="0.3">
      <c r="C497" s="7"/>
    </row>
    <row r="498" spans="3:3" ht="30" customHeight="1" x14ac:dyDescent="0.3">
      <c r="C498" s="7"/>
    </row>
    <row r="499" spans="3:3" ht="30" customHeight="1" x14ac:dyDescent="0.3">
      <c r="C499" s="7"/>
    </row>
    <row r="500" spans="3:3" ht="30" customHeight="1" x14ac:dyDescent="0.3">
      <c r="C500" s="7"/>
    </row>
    <row r="501" spans="3:3" ht="30" customHeight="1" x14ac:dyDescent="0.3">
      <c r="C501" s="7"/>
    </row>
    <row r="502" spans="3:3" ht="30" customHeight="1" x14ac:dyDescent="0.3">
      <c r="C502" s="7"/>
    </row>
    <row r="503" spans="3:3" ht="30" customHeight="1" x14ac:dyDescent="0.3">
      <c r="C503" s="7"/>
    </row>
    <row r="504" spans="3:3" ht="30" customHeight="1" x14ac:dyDescent="0.3">
      <c r="C504" s="7"/>
    </row>
    <row r="505" spans="3:3" ht="30" customHeight="1" x14ac:dyDescent="0.3">
      <c r="C505" s="7"/>
    </row>
    <row r="506" spans="3:3" ht="30" customHeight="1" x14ac:dyDescent="0.3">
      <c r="C506" s="7"/>
    </row>
    <row r="507" spans="3:3" ht="30" customHeight="1" x14ac:dyDescent="0.3">
      <c r="C507" s="7"/>
    </row>
    <row r="508" spans="3:3" ht="30" customHeight="1" x14ac:dyDescent="0.3">
      <c r="C508" s="7"/>
    </row>
    <row r="509" spans="3:3" ht="30" customHeight="1" x14ac:dyDescent="0.3">
      <c r="C509" s="7"/>
    </row>
    <row r="510" spans="3:3" ht="30" customHeight="1" x14ac:dyDescent="0.3">
      <c r="C510" s="7"/>
    </row>
    <row r="511" spans="3:3" ht="30" customHeight="1" x14ac:dyDescent="0.3">
      <c r="C511" s="7"/>
    </row>
    <row r="512" spans="3:3" ht="30" customHeight="1" x14ac:dyDescent="0.3">
      <c r="C512" s="7"/>
    </row>
    <row r="513" spans="3:3" ht="30" customHeight="1" x14ac:dyDescent="0.3">
      <c r="C513" s="7"/>
    </row>
    <row r="514" spans="3:3" ht="30" customHeight="1" x14ac:dyDescent="0.3">
      <c r="C514" s="7"/>
    </row>
    <row r="515" spans="3:3" ht="30" customHeight="1" x14ac:dyDescent="0.3">
      <c r="C515" s="7"/>
    </row>
    <row r="516" spans="3:3" ht="30" customHeight="1" x14ac:dyDescent="0.3">
      <c r="C516" s="7"/>
    </row>
    <row r="517" spans="3:3" ht="30" customHeight="1" x14ac:dyDescent="0.3">
      <c r="C517" s="7"/>
    </row>
    <row r="518" spans="3:3" ht="30" customHeight="1" x14ac:dyDescent="0.3">
      <c r="C518" s="7"/>
    </row>
    <row r="519" spans="3:3" ht="30" customHeight="1" x14ac:dyDescent="0.3">
      <c r="C519" s="7"/>
    </row>
    <row r="520" spans="3:3" ht="30" customHeight="1" x14ac:dyDescent="0.3">
      <c r="C520" s="7"/>
    </row>
    <row r="521" spans="3:3" ht="30" customHeight="1" x14ac:dyDescent="0.3">
      <c r="C521" s="7"/>
    </row>
    <row r="522" spans="3:3" ht="30" customHeight="1" x14ac:dyDescent="0.3">
      <c r="C522" s="7"/>
    </row>
    <row r="523" spans="3:3" ht="30" customHeight="1" x14ac:dyDescent="0.3">
      <c r="C523" s="7"/>
    </row>
    <row r="524" spans="3:3" ht="30" customHeight="1" x14ac:dyDescent="0.3">
      <c r="C524" s="7"/>
    </row>
    <row r="525" spans="3:3" ht="30" customHeight="1" x14ac:dyDescent="0.3">
      <c r="C525" s="7"/>
    </row>
    <row r="526" spans="3:3" ht="30" customHeight="1" x14ac:dyDescent="0.3">
      <c r="C526" s="7"/>
    </row>
    <row r="527" spans="3:3" ht="30" customHeight="1" x14ac:dyDescent="0.3">
      <c r="C527" s="7"/>
    </row>
    <row r="528" spans="3:3" ht="30" customHeight="1" x14ac:dyDescent="0.3">
      <c r="C528" s="7"/>
    </row>
    <row r="529" spans="3:3" ht="30" customHeight="1" x14ac:dyDescent="0.3">
      <c r="C529" s="7"/>
    </row>
    <row r="530" spans="3:3" ht="30" customHeight="1" x14ac:dyDescent="0.3">
      <c r="C530" s="7"/>
    </row>
    <row r="531" spans="3:3" ht="30" customHeight="1" x14ac:dyDescent="0.3">
      <c r="C531" s="7"/>
    </row>
    <row r="532" spans="3:3" ht="30" customHeight="1" x14ac:dyDescent="0.3">
      <c r="C532" s="7"/>
    </row>
    <row r="533" spans="3:3" ht="30" customHeight="1" x14ac:dyDescent="0.3">
      <c r="C533" s="7"/>
    </row>
    <row r="534" spans="3:3" ht="30" customHeight="1" x14ac:dyDescent="0.3">
      <c r="C534" s="7"/>
    </row>
    <row r="535" spans="3:3" ht="30" customHeight="1" x14ac:dyDescent="0.3">
      <c r="C535" s="7"/>
    </row>
    <row r="536" spans="3:3" ht="30" customHeight="1" x14ac:dyDescent="0.3">
      <c r="C536" s="7"/>
    </row>
    <row r="537" spans="3:3" ht="30" customHeight="1" x14ac:dyDescent="0.3">
      <c r="C537" s="7"/>
    </row>
    <row r="538" spans="3:3" ht="30" customHeight="1" x14ac:dyDescent="0.3">
      <c r="C538" s="7"/>
    </row>
    <row r="539" spans="3:3" ht="30" customHeight="1" x14ac:dyDescent="0.3">
      <c r="C539" s="7"/>
    </row>
    <row r="540" spans="3:3" ht="30" customHeight="1" x14ac:dyDescent="0.3">
      <c r="C540" s="7"/>
    </row>
    <row r="541" spans="3:3" ht="30" customHeight="1" x14ac:dyDescent="0.3">
      <c r="C541" s="7"/>
    </row>
    <row r="542" spans="3:3" ht="30" customHeight="1" x14ac:dyDescent="0.3">
      <c r="C542" s="7"/>
    </row>
    <row r="543" spans="3:3" ht="30" customHeight="1" x14ac:dyDescent="0.3">
      <c r="C543" s="7"/>
    </row>
    <row r="544" spans="3:3" ht="30" customHeight="1" x14ac:dyDescent="0.3">
      <c r="C544" s="7"/>
    </row>
    <row r="545" spans="3:3" ht="30" customHeight="1" x14ac:dyDescent="0.3">
      <c r="C545" s="7"/>
    </row>
    <row r="546" spans="3:3" ht="30" customHeight="1" x14ac:dyDescent="0.3">
      <c r="C546" s="7"/>
    </row>
    <row r="547" spans="3:3" ht="30" customHeight="1" x14ac:dyDescent="0.3">
      <c r="C547" s="7"/>
    </row>
    <row r="548" spans="3:3" ht="30" customHeight="1" x14ac:dyDescent="0.3">
      <c r="C548" s="7"/>
    </row>
    <row r="549" spans="3:3" ht="30" customHeight="1" x14ac:dyDescent="0.3">
      <c r="C549" s="7"/>
    </row>
    <row r="550" spans="3:3" ht="30" customHeight="1" x14ac:dyDescent="0.3">
      <c r="C550" s="7"/>
    </row>
    <row r="551" spans="3:3" ht="30" customHeight="1" x14ac:dyDescent="0.3">
      <c r="C551" s="7"/>
    </row>
    <row r="552" spans="3:3" ht="30" customHeight="1" x14ac:dyDescent="0.3">
      <c r="C552" s="7"/>
    </row>
    <row r="553" spans="3:3" ht="30" customHeight="1" x14ac:dyDescent="0.3">
      <c r="C553" s="7"/>
    </row>
    <row r="554" spans="3:3" ht="30" customHeight="1" x14ac:dyDescent="0.3">
      <c r="C554" s="7"/>
    </row>
    <row r="555" spans="3:3" ht="30" customHeight="1" x14ac:dyDescent="0.3">
      <c r="C555" s="7"/>
    </row>
    <row r="556" spans="3:3" ht="30" customHeight="1" x14ac:dyDescent="0.3">
      <c r="C556" s="7"/>
    </row>
    <row r="557" spans="3:3" ht="30" customHeight="1" x14ac:dyDescent="0.3">
      <c r="C557" s="7"/>
    </row>
    <row r="558" spans="3:3" ht="30" customHeight="1" x14ac:dyDescent="0.3">
      <c r="C558" s="7"/>
    </row>
    <row r="559" spans="3:3" ht="30" customHeight="1" x14ac:dyDescent="0.3">
      <c r="C559" s="7"/>
    </row>
    <row r="560" spans="3:3" ht="30" customHeight="1" x14ac:dyDescent="0.3">
      <c r="C560" s="7"/>
    </row>
    <row r="561" spans="3:3" ht="30" customHeight="1" x14ac:dyDescent="0.3">
      <c r="C561" s="7"/>
    </row>
    <row r="562" spans="3:3" ht="30" customHeight="1" x14ac:dyDescent="0.3">
      <c r="C562" s="7"/>
    </row>
    <row r="563" spans="3:3" ht="30" customHeight="1" x14ac:dyDescent="0.3">
      <c r="C563" s="7"/>
    </row>
    <row r="564" spans="3:3" ht="30" customHeight="1" x14ac:dyDescent="0.3">
      <c r="C564" s="7"/>
    </row>
    <row r="565" spans="3:3" ht="30" customHeight="1" x14ac:dyDescent="0.3">
      <c r="C565" s="7"/>
    </row>
    <row r="566" spans="3:3" ht="30" customHeight="1" x14ac:dyDescent="0.3">
      <c r="C566" s="7"/>
    </row>
    <row r="567" spans="3:3" ht="30" customHeight="1" x14ac:dyDescent="0.3">
      <c r="C567" s="7"/>
    </row>
    <row r="568" spans="3:3" ht="30" customHeight="1" x14ac:dyDescent="0.3">
      <c r="C568" s="7"/>
    </row>
    <row r="569" spans="3:3" ht="30" customHeight="1" x14ac:dyDescent="0.3">
      <c r="C569" s="7"/>
    </row>
    <row r="570" spans="3:3" ht="30" customHeight="1" x14ac:dyDescent="0.3">
      <c r="C570" s="7"/>
    </row>
    <row r="571" spans="3:3" ht="30" customHeight="1" x14ac:dyDescent="0.3">
      <c r="C571" s="7"/>
    </row>
    <row r="572" spans="3:3" ht="30" customHeight="1" x14ac:dyDescent="0.3">
      <c r="C572" s="7"/>
    </row>
    <row r="573" spans="3:3" ht="30" customHeight="1" x14ac:dyDescent="0.3">
      <c r="C573" s="7"/>
    </row>
    <row r="574" spans="3:3" ht="30" customHeight="1" x14ac:dyDescent="0.3">
      <c r="C574" s="7"/>
    </row>
    <row r="575" spans="3:3" ht="30" customHeight="1" x14ac:dyDescent="0.3">
      <c r="C575" s="7"/>
    </row>
    <row r="576" spans="3:3" ht="30" customHeight="1" x14ac:dyDescent="0.3">
      <c r="C576" s="7"/>
    </row>
    <row r="577" spans="3:3" ht="30" customHeight="1" x14ac:dyDescent="0.3">
      <c r="C577" s="7"/>
    </row>
    <row r="578" spans="3:3" ht="30" customHeight="1" x14ac:dyDescent="0.3">
      <c r="C578" s="7"/>
    </row>
    <row r="579" spans="3:3" ht="30" customHeight="1" x14ac:dyDescent="0.3">
      <c r="C579" s="7"/>
    </row>
    <row r="580" spans="3:3" ht="30" customHeight="1" x14ac:dyDescent="0.3">
      <c r="C580" s="7"/>
    </row>
    <row r="581" spans="3:3" ht="30" customHeight="1" x14ac:dyDescent="0.3">
      <c r="C581" s="7"/>
    </row>
    <row r="582" spans="3:3" ht="30" customHeight="1" x14ac:dyDescent="0.3">
      <c r="C582" s="7"/>
    </row>
    <row r="583" spans="3:3" ht="30" customHeight="1" x14ac:dyDescent="0.3">
      <c r="C583" s="7"/>
    </row>
    <row r="584" spans="3:3" ht="30" customHeight="1" x14ac:dyDescent="0.3">
      <c r="C584" s="7"/>
    </row>
    <row r="585" spans="3:3" ht="30" customHeight="1" x14ac:dyDescent="0.3">
      <c r="C585" s="7"/>
    </row>
    <row r="586" spans="3:3" ht="30" customHeight="1" x14ac:dyDescent="0.3">
      <c r="C586" s="7"/>
    </row>
    <row r="587" spans="3:3" ht="30" customHeight="1" x14ac:dyDescent="0.3">
      <c r="C587" s="7"/>
    </row>
    <row r="588" spans="3:3" ht="30" customHeight="1" x14ac:dyDescent="0.3">
      <c r="C588" s="7"/>
    </row>
    <row r="589" spans="3:3" ht="30" customHeight="1" x14ac:dyDescent="0.3">
      <c r="C589" s="7"/>
    </row>
    <row r="590" spans="3:3" ht="30" customHeight="1" x14ac:dyDescent="0.3">
      <c r="C590" s="7"/>
    </row>
    <row r="591" spans="3:3" ht="30" customHeight="1" x14ac:dyDescent="0.3">
      <c r="C591" s="7"/>
    </row>
    <row r="592" spans="3:3" ht="30" customHeight="1" x14ac:dyDescent="0.3">
      <c r="C592" s="7"/>
    </row>
    <row r="593" spans="3:3" ht="30" customHeight="1" x14ac:dyDescent="0.3">
      <c r="C593" s="7"/>
    </row>
    <row r="594" spans="3:3" ht="30" customHeight="1" x14ac:dyDescent="0.3">
      <c r="C594" s="7"/>
    </row>
    <row r="595" spans="3:3" ht="30" customHeight="1" x14ac:dyDescent="0.3">
      <c r="C595" s="7"/>
    </row>
    <row r="596" spans="3:3" ht="30" customHeight="1" x14ac:dyDescent="0.3">
      <c r="C596" s="7"/>
    </row>
    <row r="597" spans="3:3" ht="30" customHeight="1" x14ac:dyDescent="0.3">
      <c r="C597" s="7"/>
    </row>
    <row r="598" spans="3:3" ht="30" customHeight="1" x14ac:dyDescent="0.3">
      <c r="C598" s="7"/>
    </row>
    <row r="599" spans="3:3" ht="30" customHeight="1" x14ac:dyDescent="0.3">
      <c r="C599" s="7"/>
    </row>
    <row r="600" spans="3:3" ht="30" customHeight="1" x14ac:dyDescent="0.3">
      <c r="C600" s="7"/>
    </row>
    <row r="601" spans="3:3" ht="30" customHeight="1" x14ac:dyDescent="0.3">
      <c r="C601" s="7"/>
    </row>
    <row r="602" spans="3:3" ht="30" customHeight="1" x14ac:dyDescent="0.3">
      <c r="C602" s="7"/>
    </row>
    <row r="603" spans="3:3" ht="30" customHeight="1" x14ac:dyDescent="0.3">
      <c r="C603" s="7"/>
    </row>
    <row r="604" spans="3:3" ht="30" customHeight="1" x14ac:dyDescent="0.3">
      <c r="C604" s="7"/>
    </row>
    <row r="605" spans="3:3" ht="30" customHeight="1" x14ac:dyDescent="0.3">
      <c r="C605" s="7"/>
    </row>
    <row r="606" spans="3:3" ht="30" customHeight="1" x14ac:dyDescent="0.3">
      <c r="C606" s="7"/>
    </row>
    <row r="607" spans="3:3" ht="30" customHeight="1" x14ac:dyDescent="0.3">
      <c r="C607" s="7"/>
    </row>
    <row r="608" spans="3:3" ht="30" customHeight="1" x14ac:dyDescent="0.3">
      <c r="C608" s="7"/>
    </row>
    <row r="609" spans="3:3" ht="30" customHeight="1" x14ac:dyDescent="0.3">
      <c r="C609" s="7"/>
    </row>
    <row r="610" spans="3:3" ht="30" customHeight="1" x14ac:dyDescent="0.3">
      <c r="C610" s="7"/>
    </row>
    <row r="611" spans="3:3" ht="30" customHeight="1" x14ac:dyDescent="0.3">
      <c r="C611" s="7"/>
    </row>
    <row r="612" spans="3:3" ht="30" customHeight="1" x14ac:dyDescent="0.3">
      <c r="C612" s="7"/>
    </row>
    <row r="613" spans="3:3" ht="30" customHeight="1" x14ac:dyDescent="0.3">
      <c r="C613" s="7"/>
    </row>
    <row r="614" spans="3:3" ht="30" customHeight="1" x14ac:dyDescent="0.3">
      <c r="C614" s="7"/>
    </row>
    <row r="615" spans="3:3" ht="30" customHeight="1" x14ac:dyDescent="0.3">
      <c r="C615" s="7"/>
    </row>
    <row r="616" spans="3:3" ht="30" customHeight="1" x14ac:dyDescent="0.3">
      <c r="C616" s="7"/>
    </row>
    <row r="617" spans="3:3" ht="30" customHeight="1" x14ac:dyDescent="0.3">
      <c r="C617" s="7"/>
    </row>
    <row r="618" spans="3:3" ht="30" customHeight="1" x14ac:dyDescent="0.3">
      <c r="C618" s="7"/>
    </row>
    <row r="619" spans="3:3" ht="30" customHeight="1" x14ac:dyDescent="0.3">
      <c r="C619" s="7"/>
    </row>
    <row r="620" spans="3:3" ht="30" customHeight="1" x14ac:dyDescent="0.3">
      <c r="C620" s="7"/>
    </row>
    <row r="621" spans="3:3" ht="30" customHeight="1" x14ac:dyDescent="0.3">
      <c r="C621" s="7"/>
    </row>
    <row r="622" spans="3:3" ht="30" customHeight="1" x14ac:dyDescent="0.3">
      <c r="C622" s="7"/>
    </row>
    <row r="623" spans="3:3" ht="30" customHeight="1" x14ac:dyDescent="0.3">
      <c r="C623" s="7"/>
    </row>
    <row r="624" spans="3:3" ht="30" customHeight="1" x14ac:dyDescent="0.3">
      <c r="C624" s="7"/>
    </row>
    <row r="625" spans="3:3" ht="30" customHeight="1" x14ac:dyDescent="0.3">
      <c r="C625" s="7"/>
    </row>
    <row r="626" spans="3:3" ht="30" customHeight="1" x14ac:dyDescent="0.3">
      <c r="C626" s="7"/>
    </row>
    <row r="627" spans="3:3" ht="30" customHeight="1" x14ac:dyDescent="0.3">
      <c r="C627" s="7"/>
    </row>
    <row r="628" spans="3:3" ht="30" customHeight="1" x14ac:dyDescent="0.3">
      <c r="C628" s="7"/>
    </row>
    <row r="629" spans="3:3" ht="30" customHeight="1" x14ac:dyDescent="0.3">
      <c r="C629" s="7"/>
    </row>
    <row r="630" spans="3:3" ht="30" customHeight="1" x14ac:dyDescent="0.3">
      <c r="C630" s="7"/>
    </row>
    <row r="631" spans="3:3" ht="30" customHeight="1" x14ac:dyDescent="0.3">
      <c r="C631" s="7"/>
    </row>
    <row r="632" spans="3:3" ht="30" customHeight="1" x14ac:dyDescent="0.3">
      <c r="C632" s="7"/>
    </row>
    <row r="633" spans="3:3" ht="30" customHeight="1" x14ac:dyDescent="0.3">
      <c r="C633" s="7"/>
    </row>
    <row r="634" spans="3:3" ht="30" customHeight="1" x14ac:dyDescent="0.3">
      <c r="C634" s="7"/>
    </row>
    <row r="635" spans="3:3" ht="30" customHeight="1" x14ac:dyDescent="0.3">
      <c r="C635" s="7"/>
    </row>
    <row r="636" spans="3:3" ht="30" customHeight="1" x14ac:dyDescent="0.3">
      <c r="C636" s="7"/>
    </row>
    <row r="637" spans="3:3" ht="30" customHeight="1" x14ac:dyDescent="0.3">
      <c r="C637" s="7"/>
    </row>
    <row r="638" spans="3:3" ht="30" customHeight="1" x14ac:dyDescent="0.3">
      <c r="C638" s="7"/>
    </row>
    <row r="639" spans="3:3" ht="30" customHeight="1" x14ac:dyDescent="0.3">
      <c r="C639" s="7"/>
    </row>
    <row r="640" spans="3:3" ht="30" customHeight="1" x14ac:dyDescent="0.3">
      <c r="C640" s="7"/>
    </row>
    <row r="641" spans="3:3" ht="30" customHeight="1" x14ac:dyDescent="0.3">
      <c r="C641" s="7"/>
    </row>
    <row r="642" spans="3:3" ht="30" customHeight="1" x14ac:dyDescent="0.3">
      <c r="C642" s="7"/>
    </row>
    <row r="643" spans="3:3" ht="30" customHeight="1" x14ac:dyDescent="0.3">
      <c r="C643" s="7"/>
    </row>
    <row r="644" spans="3:3" ht="30" customHeight="1" x14ac:dyDescent="0.3">
      <c r="C644" s="7"/>
    </row>
    <row r="645" spans="3:3" ht="30" customHeight="1" x14ac:dyDescent="0.3">
      <c r="C645" s="7"/>
    </row>
    <row r="646" spans="3:3" ht="30" customHeight="1" x14ac:dyDescent="0.3">
      <c r="C646" s="7"/>
    </row>
    <row r="647" spans="3:3" ht="30" customHeight="1" x14ac:dyDescent="0.3">
      <c r="C647" s="7"/>
    </row>
    <row r="648" spans="3:3" ht="30" customHeight="1" x14ac:dyDescent="0.3">
      <c r="C648" s="7"/>
    </row>
    <row r="649" spans="3:3" ht="30" customHeight="1" x14ac:dyDescent="0.3">
      <c r="C649" s="7"/>
    </row>
    <row r="650" spans="3:3" ht="30" customHeight="1" x14ac:dyDescent="0.3">
      <c r="C650" s="7"/>
    </row>
    <row r="651" spans="3:3" ht="30" customHeight="1" x14ac:dyDescent="0.3">
      <c r="C651" s="7"/>
    </row>
    <row r="652" spans="3:3" ht="30" customHeight="1" x14ac:dyDescent="0.3">
      <c r="C652" s="7"/>
    </row>
    <row r="653" spans="3:3" ht="30" customHeight="1" x14ac:dyDescent="0.3">
      <c r="C653" s="7"/>
    </row>
    <row r="654" spans="3:3" ht="30" customHeight="1" x14ac:dyDescent="0.3">
      <c r="C654" s="7"/>
    </row>
    <row r="655" spans="3:3" ht="30" customHeight="1" x14ac:dyDescent="0.3">
      <c r="C655" s="7"/>
    </row>
    <row r="656" spans="3:3" ht="30" customHeight="1" x14ac:dyDescent="0.3">
      <c r="C656" s="7"/>
    </row>
    <row r="657" spans="3:3" ht="30" customHeight="1" x14ac:dyDescent="0.3">
      <c r="C657" s="7"/>
    </row>
    <row r="658" spans="3:3" ht="30" customHeight="1" x14ac:dyDescent="0.3">
      <c r="C658" s="7"/>
    </row>
    <row r="659" spans="3:3" ht="30" customHeight="1" x14ac:dyDescent="0.3">
      <c r="C659" s="7"/>
    </row>
    <row r="660" spans="3:3" ht="30" customHeight="1" x14ac:dyDescent="0.3">
      <c r="C660" s="7"/>
    </row>
    <row r="661" spans="3:3" ht="30" customHeight="1" x14ac:dyDescent="0.3">
      <c r="C661" s="7"/>
    </row>
    <row r="662" spans="3:3" ht="30" customHeight="1" x14ac:dyDescent="0.3">
      <c r="C662" s="7"/>
    </row>
    <row r="663" spans="3:3" ht="30" customHeight="1" x14ac:dyDescent="0.3">
      <c r="C663" s="7"/>
    </row>
    <row r="664" spans="3:3" ht="30" customHeight="1" x14ac:dyDescent="0.3">
      <c r="C664" s="7"/>
    </row>
    <row r="665" spans="3:3" ht="30" customHeight="1" x14ac:dyDescent="0.3">
      <c r="C665" s="7"/>
    </row>
    <row r="666" spans="3:3" ht="30" customHeight="1" x14ac:dyDescent="0.3">
      <c r="C666" s="7"/>
    </row>
    <row r="667" spans="3:3" ht="30" customHeight="1" x14ac:dyDescent="0.3">
      <c r="C667" s="7"/>
    </row>
    <row r="668" spans="3:3" ht="30" customHeight="1" x14ac:dyDescent="0.3">
      <c r="C668" s="7"/>
    </row>
    <row r="669" spans="3:3" ht="30" customHeight="1" x14ac:dyDescent="0.3">
      <c r="C669" s="7"/>
    </row>
    <row r="670" spans="3:3" ht="30" customHeight="1" x14ac:dyDescent="0.3">
      <c r="C670" s="7"/>
    </row>
    <row r="671" spans="3:3" ht="30" customHeight="1" x14ac:dyDescent="0.3">
      <c r="C671" s="7"/>
    </row>
    <row r="672" spans="3:3" ht="30" customHeight="1" x14ac:dyDescent="0.3">
      <c r="C672" s="7"/>
    </row>
    <row r="673" spans="3:3" ht="30" customHeight="1" x14ac:dyDescent="0.3">
      <c r="C673" s="7"/>
    </row>
    <row r="674" spans="3:3" ht="30" customHeight="1" x14ac:dyDescent="0.3">
      <c r="C674" s="7"/>
    </row>
    <row r="675" spans="3:3" ht="30" customHeight="1" x14ac:dyDescent="0.3">
      <c r="C675" s="7"/>
    </row>
    <row r="676" spans="3:3" ht="30" customHeight="1" x14ac:dyDescent="0.3">
      <c r="C676" s="7"/>
    </row>
    <row r="677" spans="3:3" ht="30" customHeight="1" x14ac:dyDescent="0.3">
      <c r="C677" s="7"/>
    </row>
    <row r="678" spans="3:3" ht="30" customHeight="1" x14ac:dyDescent="0.3">
      <c r="C678" s="7"/>
    </row>
    <row r="679" spans="3:3" ht="30" customHeight="1" x14ac:dyDescent="0.3">
      <c r="C679" s="7"/>
    </row>
    <row r="680" spans="3:3" ht="30" customHeight="1" x14ac:dyDescent="0.3">
      <c r="C680" s="7"/>
    </row>
    <row r="681" spans="3:3" ht="30" customHeight="1" x14ac:dyDescent="0.3">
      <c r="C681" s="7"/>
    </row>
    <row r="682" spans="3:3" ht="30" customHeight="1" x14ac:dyDescent="0.3">
      <c r="C682" s="7"/>
    </row>
    <row r="683" spans="3:3" ht="30" customHeight="1" x14ac:dyDescent="0.3">
      <c r="C683" s="7"/>
    </row>
    <row r="684" spans="3:3" ht="30" customHeight="1" x14ac:dyDescent="0.3">
      <c r="C684" s="7"/>
    </row>
    <row r="685" spans="3:3" ht="30" customHeight="1" x14ac:dyDescent="0.3">
      <c r="C685" s="7"/>
    </row>
    <row r="686" spans="3:3" ht="30" customHeight="1" x14ac:dyDescent="0.3">
      <c r="C686" s="7"/>
    </row>
    <row r="687" spans="3:3" ht="30" customHeight="1" x14ac:dyDescent="0.3">
      <c r="C687" s="7"/>
    </row>
    <row r="688" spans="3:3" ht="30" customHeight="1" x14ac:dyDescent="0.3">
      <c r="C688" s="7"/>
    </row>
    <row r="689" spans="3:3" ht="30" customHeight="1" x14ac:dyDescent="0.3">
      <c r="C689" s="7"/>
    </row>
    <row r="690" spans="3:3" ht="30" customHeight="1" x14ac:dyDescent="0.3">
      <c r="C690" s="7"/>
    </row>
    <row r="691" spans="3:3" ht="30" customHeight="1" x14ac:dyDescent="0.3">
      <c r="C691" s="7"/>
    </row>
    <row r="692" spans="3:3" ht="30" customHeight="1" x14ac:dyDescent="0.3">
      <c r="C692" s="7"/>
    </row>
    <row r="693" spans="3:3" ht="30" customHeight="1" x14ac:dyDescent="0.3">
      <c r="C693" s="7"/>
    </row>
    <row r="694" spans="3:3" ht="30" customHeight="1" x14ac:dyDescent="0.3">
      <c r="C694" s="7"/>
    </row>
    <row r="695" spans="3:3" ht="30" customHeight="1" x14ac:dyDescent="0.3">
      <c r="C695" s="7"/>
    </row>
    <row r="696" spans="3:3" ht="30" customHeight="1" x14ac:dyDescent="0.3">
      <c r="C696" s="7"/>
    </row>
    <row r="697" spans="3:3" ht="30" customHeight="1" x14ac:dyDescent="0.3">
      <c r="C697" s="7"/>
    </row>
    <row r="698" spans="3:3" ht="30" customHeight="1" x14ac:dyDescent="0.3">
      <c r="C698" s="7"/>
    </row>
    <row r="699" spans="3:3" ht="30" customHeight="1" x14ac:dyDescent="0.3">
      <c r="C699" s="7"/>
    </row>
    <row r="700" spans="3:3" ht="30" customHeight="1" x14ac:dyDescent="0.3">
      <c r="C700" s="7"/>
    </row>
    <row r="701" spans="3:3" ht="30" customHeight="1" x14ac:dyDescent="0.3">
      <c r="C701" s="7"/>
    </row>
    <row r="702" spans="3:3" ht="30" customHeight="1" x14ac:dyDescent="0.3">
      <c r="C702" s="7"/>
    </row>
    <row r="703" spans="3:3" ht="30" customHeight="1" x14ac:dyDescent="0.3">
      <c r="C703" s="7"/>
    </row>
    <row r="704" spans="3:3" ht="30" customHeight="1" x14ac:dyDescent="0.3">
      <c r="C704" s="7"/>
    </row>
    <row r="705" spans="3:3" ht="30" customHeight="1" x14ac:dyDescent="0.3">
      <c r="C705" s="7"/>
    </row>
    <row r="706" spans="3:3" ht="30" customHeight="1" x14ac:dyDescent="0.3">
      <c r="C706" s="7"/>
    </row>
    <row r="707" spans="3:3" ht="30" customHeight="1" x14ac:dyDescent="0.3">
      <c r="C707" s="7"/>
    </row>
    <row r="708" spans="3:3" ht="30" customHeight="1" x14ac:dyDescent="0.3">
      <c r="C708" s="7"/>
    </row>
    <row r="709" spans="3:3" ht="30" customHeight="1" x14ac:dyDescent="0.3">
      <c r="C709" s="7"/>
    </row>
    <row r="710" spans="3:3" ht="30" customHeight="1" x14ac:dyDescent="0.3">
      <c r="C710" s="7"/>
    </row>
    <row r="711" spans="3:3" ht="30" customHeight="1" x14ac:dyDescent="0.3">
      <c r="C711" s="7"/>
    </row>
    <row r="712" spans="3:3" ht="30" customHeight="1" x14ac:dyDescent="0.3">
      <c r="C712" s="7"/>
    </row>
    <row r="713" spans="3:3" ht="30" customHeight="1" x14ac:dyDescent="0.3">
      <c r="C713" s="7"/>
    </row>
    <row r="714" spans="3:3" ht="30" customHeight="1" x14ac:dyDescent="0.3">
      <c r="C714" s="7"/>
    </row>
    <row r="715" spans="3:3" ht="30" customHeight="1" x14ac:dyDescent="0.3">
      <c r="C715" s="7"/>
    </row>
    <row r="716" spans="3:3" ht="30" customHeight="1" x14ac:dyDescent="0.3">
      <c r="C716" s="7"/>
    </row>
    <row r="717" spans="3:3" ht="30" customHeight="1" x14ac:dyDescent="0.3">
      <c r="C717" s="7"/>
    </row>
    <row r="718" spans="3:3" ht="30" customHeight="1" x14ac:dyDescent="0.3">
      <c r="C718" s="7"/>
    </row>
    <row r="719" spans="3:3" ht="30" customHeight="1" x14ac:dyDescent="0.3">
      <c r="C719" s="7"/>
    </row>
    <row r="720" spans="3:3" ht="30" customHeight="1" x14ac:dyDescent="0.3">
      <c r="C720" s="7"/>
    </row>
    <row r="721" spans="3:3" ht="30" customHeight="1" x14ac:dyDescent="0.3">
      <c r="C721" s="7"/>
    </row>
    <row r="722" spans="3:3" ht="30" customHeight="1" x14ac:dyDescent="0.3">
      <c r="C722" s="7"/>
    </row>
    <row r="723" spans="3:3" ht="30" customHeight="1" x14ac:dyDescent="0.3">
      <c r="C723" s="7"/>
    </row>
    <row r="724" spans="3:3" ht="30" customHeight="1" x14ac:dyDescent="0.3">
      <c r="C724" s="7"/>
    </row>
    <row r="725" spans="3:3" ht="30" customHeight="1" x14ac:dyDescent="0.3">
      <c r="C725" s="7"/>
    </row>
    <row r="726" spans="3:3" ht="30" customHeight="1" x14ac:dyDescent="0.3">
      <c r="C726" s="7"/>
    </row>
    <row r="727" spans="3:3" ht="30" customHeight="1" x14ac:dyDescent="0.3">
      <c r="C727" s="7"/>
    </row>
    <row r="728" spans="3:3" ht="30" customHeight="1" x14ac:dyDescent="0.3">
      <c r="C728" s="7"/>
    </row>
    <row r="729" spans="3:3" ht="30" customHeight="1" x14ac:dyDescent="0.3">
      <c r="C729" s="7"/>
    </row>
    <row r="730" spans="3:3" ht="30" customHeight="1" x14ac:dyDescent="0.3">
      <c r="C730" s="7"/>
    </row>
    <row r="731" spans="3:3" ht="30" customHeight="1" x14ac:dyDescent="0.3">
      <c r="C731" s="7"/>
    </row>
    <row r="732" spans="3:3" ht="30" customHeight="1" x14ac:dyDescent="0.3">
      <c r="C732" s="7"/>
    </row>
    <row r="733" spans="3:3" ht="30" customHeight="1" x14ac:dyDescent="0.3">
      <c r="C733" s="7"/>
    </row>
    <row r="734" spans="3:3" ht="30" customHeight="1" x14ac:dyDescent="0.3">
      <c r="C734" s="7"/>
    </row>
    <row r="735" spans="3:3" ht="30" customHeight="1" x14ac:dyDescent="0.3">
      <c r="C735" s="7"/>
    </row>
    <row r="736" spans="3:3" ht="30" customHeight="1" x14ac:dyDescent="0.3">
      <c r="C736" s="7"/>
    </row>
    <row r="737" spans="3:3" ht="30" customHeight="1" x14ac:dyDescent="0.3">
      <c r="C737" s="7"/>
    </row>
    <row r="738" spans="3:3" ht="30" customHeight="1" x14ac:dyDescent="0.3">
      <c r="C738" s="7"/>
    </row>
    <row r="739" spans="3:3" ht="30" customHeight="1" x14ac:dyDescent="0.3">
      <c r="C739" s="7"/>
    </row>
    <row r="740" spans="3:3" ht="30" customHeight="1" x14ac:dyDescent="0.3">
      <c r="C740" s="7"/>
    </row>
    <row r="741" spans="3:3" ht="30" customHeight="1" x14ac:dyDescent="0.3">
      <c r="C741" s="7"/>
    </row>
    <row r="742" spans="3:3" ht="30" customHeight="1" x14ac:dyDescent="0.3">
      <c r="C742" s="7"/>
    </row>
    <row r="743" spans="3:3" ht="30" customHeight="1" x14ac:dyDescent="0.3">
      <c r="C743" s="7"/>
    </row>
    <row r="744" spans="3:3" ht="30" customHeight="1" x14ac:dyDescent="0.3">
      <c r="C744" s="7"/>
    </row>
    <row r="745" spans="3:3" ht="30" customHeight="1" x14ac:dyDescent="0.3">
      <c r="C745" s="7"/>
    </row>
    <row r="746" spans="3:3" ht="30" customHeight="1" x14ac:dyDescent="0.3">
      <c r="C746" s="7"/>
    </row>
    <row r="747" spans="3:3" ht="30" customHeight="1" x14ac:dyDescent="0.3">
      <c r="C747" s="7"/>
    </row>
    <row r="748" spans="3:3" ht="30" customHeight="1" x14ac:dyDescent="0.3">
      <c r="C748" s="7"/>
    </row>
    <row r="749" spans="3:3" ht="30" customHeight="1" x14ac:dyDescent="0.3">
      <c r="C749" s="7"/>
    </row>
    <row r="750" spans="3:3" ht="30" customHeight="1" x14ac:dyDescent="0.3">
      <c r="C750" s="7"/>
    </row>
    <row r="751" spans="3:3" ht="30" customHeight="1" x14ac:dyDescent="0.3">
      <c r="C751" s="7"/>
    </row>
    <row r="752" spans="3:3" ht="30" customHeight="1" x14ac:dyDescent="0.3">
      <c r="C752" s="7"/>
    </row>
    <row r="753" spans="3:3" ht="30" customHeight="1" x14ac:dyDescent="0.3">
      <c r="C753" s="7"/>
    </row>
    <row r="754" spans="3:3" ht="30" customHeight="1" x14ac:dyDescent="0.3">
      <c r="C754" s="7"/>
    </row>
    <row r="755" spans="3:3" ht="30" customHeight="1" x14ac:dyDescent="0.3">
      <c r="C755" s="7"/>
    </row>
    <row r="756" spans="3:3" ht="30" customHeight="1" x14ac:dyDescent="0.3">
      <c r="C756" s="7"/>
    </row>
    <row r="757" spans="3:3" ht="30" customHeight="1" x14ac:dyDescent="0.3">
      <c r="C757" s="7"/>
    </row>
    <row r="758" spans="3:3" ht="30" customHeight="1" x14ac:dyDescent="0.3">
      <c r="C758" s="7"/>
    </row>
    <row r="759" spans="3:3" ht="30" customHeight="1" x14ac:dyDescent="0.3">
      <c r="C759" s="7"/>
    </row>
    <row r="760" spans="3:3" ht="30" customHeight="1" x14ac:dyDescent="0.3">
      <c r="C760" s="7"/>
    </row>
    <row r="761" spans="3:3" ht="30" customHeight="1" x14ac:dyDescent="0.3">
      <c r="C761" s="7"/>
    </row>
    <row r="762" spans="3:3" ht="30" customHeight="1" x14ac:dyDescent="0.3">
      <c r="C762" s="7"/>
    </row>
    <row r="763" spans="3:3" ht="30" customHeight="1" x14ac:dyDescent="0.3">
      <c r="C763" s="7"/>
    </row>
    <row r="764" spans="3:3" ht="30" customHeight="1" x14ac:dyDescent="0.3">
      <c r="C764" s="7"/>
    </row>
    <row r="765" spans="3:3" ht="30" customHeight="1" x14ac:dyDescent="0.3">
      <c r="C765" s="7"/>
    </row>
    <row r="766" spans="3:3" ht="30" customHeight="1" x14ac:dyDescent="0.3">
      <c r="C766" s="7"/>
    </row>
    <row r="767" spans="3:3" ht="30" customHeight="1" x14ac:dyDescent="0.3">
      <c r="C767" s="7"/>
    </row>
    <row r="768" spans="3:3" ht="30" customHeight="1" x14ac:dyDescent="0.3">
      <c r="C768" s="7"/>
    </row>
    <row r="769" spans="3:3" ht="30" customHeight="1" x14ac:dyDescent="0.3">
      <c r="C769" s="7"/>
    </row>
    <row r="770" spans="3:3" ht="30" customHeight="1" x14ac:dyDescent="0.3">
      <c r="C770" s="7"/>
    </row>
    <row r="771" spans="3:3" ht="30" customHeight="1" x14ac:dyDescent="0.3">
      <c r="C771" s="7"/>
    </row>
    <row r="772" spans="3:3" ht="30" customHeight="1" x14ac:dyDescent="0.3">
      <c r="C772" s="7"/>
    </row>
    <row r="773" spans="3:3" ht="30" customHeight="1" x14ac:dyDescent="0.3">
      <c r="C773" s="7"/>
    </row>
    <row r="774" spans="3:3" ht="30" customHeight="1" x14ac:dyDescent="0.3">
      <c r="C774" s="7"/>
    </row>
    <row r="775" spans="3:3" ht="30" customHeight="1" x14ac:dyDescent="0.3">
      <c r="C775" s="7"/>
    </row>
    <row r="776" spans="3:3" ht="30" customHeight="1" x14ac:dyDescent="0.3">
      <c r="C776" s="7"/>
    </row>
    <row r="777" spans="3:3" ht="30" customHeight="1" x14ac:dyDescent="0.3">
      <c r="C777" s="7"/>
    </row>
    <row r="778" spans="3:3" ht="30" customHeight="1" x14ac:dyDescent="0.3">
      <c r="C778" s="7"/>
    </row>
    <row r="779" spans="3:3" ht="30" customHeight="1" x14ac:dyDescent="0.3">
      <c r="C779" s="7"/>
    </row>
    <row r="780" spans="3:3" ht="30" customHeight="1" x14ac:dyDescent="0.3">
      <c r="C780" s="7"/>
    </row>
    <row r="781" spans="3:3" ht="30" customHeight="1" x14ac:dyDescent="0.3">
      <c r="C781" s="7"/>
    </row>
    <row r="782" spans="3:3" ht="30" customHeight="1" x14ac:dyDescent="0.3">
      <c r="C782" s="7"/>
    </row>
    <row r="783" spans="3:3" ht="30" customHeight="1" x14ac:dyDescent="0.3">
      <c r="C783" s="7"/>
    </row>
    <row r="784" spans="3:3" ht="30" customHeight="1" x14ac:dyDescent="0.3">
      <c r="C784" s="7"/>
    </row>
    <row r="785" spans="3:3" ht="30" customHeight="1" x14ac:dyDescent="0.3">
      <c r="C785" s="7"/>
    </row>
    <row r="786" spans="3:3" ht="30" customHeight="1" x14ac:dyDescent="0.3">
      <c r="C786" s="7"/>
    </row>
    <row r="787" spans="3:3" ht="30" customHeight="1" x14ac:dyDescent="0.3">
      <c r="C787" s="7"/>
    </row>
    <row r="788" spans="3:3" ht="30" customHeight="1" x14ac:dyDescent="0.3">
      <c r="C788" s="7"/>
    </row>
    <row r="789" spans="3:3" ht="30" customHeight="1" x14ac:dyDescent="0.3">
      <c r="C789" s="7"/>
    </row>
    <row r="790" spans="3:3" ht="30" customHeight="1" x14ac:dyDescent="0.3">
      <c r="C790" s="7"/>
    </row>
    <row r="791" spans="3:3" ht="30" customHeight="1" x14ac:dyDescent="0.3">
      <c r="C791" s="7"/>
    </row>
    <row r="792" spans="3:3" ht="30" customHeight="1" x14ac:dyDescent="0.3">
      <c r="C792" s="7"/>
    </row>
    <row r="793" spans="3:3" ht="30" customHeight="1" x14ac:dyDescent="0.3">
      <c r="C793" s="7"/>
    </row>
    <row r="794" spans="3:3" ht="30" customHeight="1" x14ac:dyDescent="0.3">
      <c r="C794" s="7"/>
    </row>
    <row r="795" spans="3:3" ht="30" customHeight="1" x14ac:dyDescent="0.3">
      <c r="C795" s="7"/>
    </row>
    <row r="796" spans="3:3" ht="30" customHeight="1" x14ac:dyDescent="0.3">
      <c r="C796" s="7"/>
    </row>
    <row r="797" spans="3:3" ht="30" customHeight="1" x14ac:dyDescent="0.3">
      <c r="C797" s="7"/>
    </row>
    <row r="798" spans="3:3" ht="30" customHeight="1" x14ac:dyDescent="0.3">
      <c r="C798" s="7"/>
    </row>
    <row r="799" spans="3:3" ht="30" customHeight="1" x14ac:dyDescent="0.3">
      <c r="C799" s="7"/>
    </row>
    <row r="800" spans="3:3" ht="30" customHeight="1" x14ac:dyDescent="0.3">
      <c r="C800" s="7"/>
    </row>
    <row r="801" spans="3:3" ht="30" customHeight="1" x14ac:dyDescent="0.3">
      <c r="C801" s="7"/>
    </row>
    <row r="802" spans="3:3" ht="30" customHeight="1" x14ac:dyDescent="0.3">
      <c r="C802" s="7"/>
    </row>
    <row r="803" spans="3:3" ht="30" customHeight="1" x14ac:dyDescent="0.3">
      <c r="C803" s="7"/>
    </row>
    <row r="804" spans="3:3" ht="30" customHeight="1" x14ac:dyDescent="0.3">
      <c r="C804" s="7"/>
    </row>
    <row r="805" spans="3:3" ht="30" customHeight="1" x14ac:dyDescent="0.3">
      <c r="C805" s="7"/>
    </row>
    <row r="806" spans="3:3" ht="30" customHeight="1" x14ac:dyDescent="0.3">
      <c r="C806" s="7"/>
    </row>
    <row r="807" spans="3:3" ht="30" customHeight="1" x14ac:dyDescent="0.3">
      <c r="C807" s="7"/>
    </row>
    <row r="808" spans="3:3" ht="30" customHeight="1" x14ac:dyDescent="0.3">
      <c r="C808" s="7"/>
    </row>
    <row r="809" spans="3:3" ht="30" customHeight="1" x14ac:dyDescent="0.3">
      <c r="C809" s="7"/>
    </row>
    <row r="810" spans="3:3" ht="30" customHeight="1" x14ac:dyDescent="0.3">
      <c r="C810" s="7"/>
    </row>
    <row r="811" spans="3:3" ht="30" customHeight="1" x14ac:dyDescent="0.3">
      <c r="C811" s="7"/>
    </row>
    <row r="812" spans="3:3" ht="30" customHeight="1" x14ac:dyDescent="0.3">
      <c r="C812" s="7"/>
    </row>
    <row r="813" spans="3:3" ht="30" customHeight="1" x14ac:dyDescent="0.3">
      <c r="C813" s="7"/>
    </row>
    <row r="814" spans="3:3" ht="30" customHeight="1" x14ac:dyDescent="0.3">
      <c r="C814" s="7"/>
    </row>
    <row r="815" spans="3:3" ht="30" customHeight="1" x14ac:dyDescent="0.3">
      <c r="C815" s="7"/>
    </row>
    <row r="816" spans="3:3" ht="30" customHeight="1" x14ac:dyDescent="0.3">
      <c r="C816" s="7"/>
    </row>
    <row r="817" spans="3:3" ht="30" customHeight="1" x14ac:dyDescent="0.3">
      <c r="C817" s="7"/>
    </row>
    <row r="818" spans="3:3" ht="30" customHeight="1" x14ac:dyDescent="0.3">
      <c r="C818" s="7"/>
    </row>
    <row r="819" spans="3:3" ht="30" customHeight="1" x14ac:dyDescent="0.3">
      <c r="C819" s="7"/>
    </row>
    <row r="820" spans="3:3" ht="30" customHeight="1" x14ac:dyDescent="0.3">
      <c r="C820" s="7"/>
    </row>
    <row r="821" spans="3:3" ht="30" customHeight="1" x14ac:dyDescent="0.3">
      <c r="C821" s="7"/>
    </row>
    <row r="822" spans="3:3" ht="30" customHeight="1" x14ac:dyDescent="0.3">
      <c r="C822" s="7"/>
    </row>
    <row r="823" spans="3:3" ht="30" customHeight="1" x14ac:dyDescent="0.3">
      <c r="C823" s="7"/>
    </row>
    <row r="824" spans="3:3" ht="30" customHeight="1" x14ac:dyDescent="0.3">
      <c r="C824" s="7"/>
    </row>
    <row r="825" spans="3:3" ht="30" customHeight="1" x14ac:dyDescent="0.3">
      <c r="C825" s="7"/>
    </row>
    <row r="826" spans="3:3" ht="30" customHeight="1" x14ac:dyDescent="0.3">
      <c r="C826" s="7"/>
    </row>
    <row r="827" spans="3:3" ht="30" customHeight="1" x14ac:dyDescent="0.3">
      <c r="C827" s="7"/>
    </row>
    <row r="828" spans="3:3" ht="30" customHeight="1" x14ac:dyDescent="0.3">
      <c r="C828" s="7"/>
    </row>
    <row r="829" spans="3:3" ht="30" customHeight="1" x14ac:dyDescent="0.3">
      <c r="C829" s="7"/>
    </row>
    <row r="830" spans="3:3" ht="30" customHeight="1" x14ac:dyDescent="0.3">
      <c r="C830" s="7"/>
    </row>
    <row r="831" spans="3:3" ht="30" customHeight="1" x14ac:dyDescent="0.3">
      <c r="C831" s="7"/>
    </row>
    <row r="832" spans="3:3" ht="30" customHeight="1" x14ac:dyDescent="0.3">
      <c r="C832" s="7"/>
    </row>
    <row r="833" spans="3:3" ht="30" customHeight="1" x14ac:dyDescent="0.3">
      <c r="C833" s="7"/>
    </row>
    <row r="834" spans="3:3" ht="30" customHeight="1" x14ac:dyDescent="0.3">
      <c r="C834" s="7"/>
    </row>
    <row r="835" spans="3:3" ht="30" customHeight="1" x14ac:dyDescent="0.3">
      <c r="C835" s="7"/>
    </row>
    <row r="836" spans="3:3" ht="30" customHeight="1" x14ac:dyDescent="0.3">
      <c r="C836" s="7"/>
    </row>
    <row r="837" spans="3:3" ht="30" customHeight="1" x14ac:dyDescent="0.3">
      <c r="C837" s="7"/>
    </row>
    <row r="838" spans="3:3" ht="30" customHeight="1" x14ac:dyDescent="0.3">
      <c r="C838" s="7"/>
    </row>
    <row r="839" spans="3:3" ht="30" customHeight="1" x14ac:dyDescent="0.3">
      <c r="C839" s="7"/>
    </row>
    <row r="840" spans="3:3" ht="30" customHeight="1" x14ac:dyDescent="0.3">
      <c r="C840" s="7"/>
    </row>
    <row r="841" spans="3:3" ht="30" customHeight="1" x14ac:dyDescent="0.3">
      <c r="C841" s="7"/>
    </row>
    <row r="842" spans="3:3" ht="30" customHeight="1" x14ac:dyDescent="0.3">
      <c r="C842" s="7"/>
    </row>
    <row r="843" spans="3:3" ht="30" customHeight="1" x14ac:dyDescent="0.3">
      <c r="C843" s="7"/>
    </row>
    <row r="844" spans="3:3" ht="30" customHeight="1" x14ac:dyDescent="0.3">
      <c r="C844" s="7"/>
    </row>
    <row r="845" spans="3:3" ht="30" customHeight="1" x14ac:dyDescent="0.3">
      <c r="C845" s="7"/>
    </row>
    <row r="846" spans="3:3" ht="30" customHeight="1" x14ac:dyDescent="0.3">
      <c r="C846" s="7"/>
    </row>
    <row r="847" spans="3:3" ht="30" customHeight="1" x14ac:dyDescent="0.3">
      <c r="C847" s="7"/>
    </row>
    <row r="848" spans="3:3" ht="30" customHeight="1" x14ac:dyDescent="0.3">
      <c r="C848" s="7"/>
    </row>
    <row r="849" spans="3:3" ht="30" customHeight="1" x14ac:dyDescent="0.3">
      <c r="C849" s="7"/>
    </row>
    <row r="850" spans="3:3" ht="30" customHeight="1" x14ac:dyDescent="0.3">
      <c r="C850" s="7"/>
    </row>
    <row r="851" spans="3:3" ht="30" customHeight="1" x14ac:dyDescent="0.3">
      <c r="C851" s="7"/>
    </row>
    <row r="852" spans="3:3" ht="30" customHeight="1" x14ac:dyDescent="0.3">
      <c r="C852" s="7"/>
    </row>
    <row r="853" spans="3:3" ht="30" customHeight="1" x14ac:dyDescent="0.3">
      <c r="C853" s="7"/>
    </row>
    <row r="854" spans="3:3" ht="30" customHeight="1" x14ac:dyDescent="0.3">
      <c r="C854" s="7"/>
    </row>
    <row r="855" spans="3:3" ht="30" customHeight="1" x14ac:dyDescent="0.3">
      <c r="C855" s="7"/>
    </row>
    <row r="856" spans="3:3" ht="30" customHeight="1" x14ac:dyDescent="0.3">
      <c r="C856" s="7"/>
    </row>
    <row r="857" spans="3:3" ht="30" customHeight="1" x14ac:dyDescent="0.3">
      <c r="C857" s="7"/>
    </row>
    <row r="858" spans="3:3" ht="30" customHeight="1" x14ac:dyDescent="0.3">
      <c r="C858" s="7"/>
    </row>
    <row r="859" spans="3:3" ht="30" customHeight="1" x14ac:dyDescent="0.3">
      <c r="C859" s="7"/>
    </row>
    <row r="860" spans="3:3" ht="30" customHeight="1" x14ac:dyDescent="0.3">
      <c r="C860" s="7"/>
    </row>
    <row r="861" spans="3:3" ht="30" customHeight="1" x14ac:dyDescent="0.3">
      <c r="C861" s="7"/>
    </row>
    <row r="862" spans="3:3" ht="30" customHeight="1" x14ac:dyDescent="0.3">
      <c r="C862" s="7"/>
    </row>
    <row r="863" spans="3:3" ht="30" customHeight="1" x14ac:dyDescent="0.3">
      <c r="C863" s="7"/>
    </row>
    <row r="864" spans="3:3" ht="30" customHeight="1" x14ac:dyDescent="0.3">
      <c r="C864" s="7"/>
    </row>
    <row r="865" spans="3:3" ht="30" customHeight="1" x14ac:dyDescent="0.3">
      <c r="C865" s="7"/>
    </row>
    <row r="866" spans="3:3" ht="30" customHeight="1" x14ac:dyDescent="0.3">
      <c r="C866" s="7"/>
    </row>
    <row r="867" spans="3:3" ht="30" customHeight="1" x14ac:dyDescent="0.3">
      <c r="C867" s="7"/>
    </row>
    <row r="868" spans="3:3" ht="30" customHeight="1" x14ac:dyDescent="0.3">
      <c r="C868" s="7"/>
    </row>
    <row r="869" spans="3:3" ht="30" customHeight="1" x14ac:dyDescent="0.3">
      <c r="C869" s="7"/>
    </row>
    <row r="870" spans="3:3" ht="30" customHeight="1" x14ac:dyDescent="0.3">
      <c r="C870" s="7"/>
    </row>
    <row r="871" spans="3:3" ht="30" customHeight="1" x14ac:dyDescent="0.3">
      <c r="C871" s="7"/>
    </row>
    <row r="872" spans="3:3" ht="30" customHeight="1" x14ac:dyDescent="0.3">
      <c r="C872" s="7"/>
    </row>
    <row r="873" spans="3:3" ht="30" customHeight="1" x14ac:dyDescent="0.3">
      <c r="C873" s="7"/>
    </row>
    <row r="874" spans="3:3" ht="30" customHeight="1" x14ac:dyDescent="0.3">
      <c r="C874" s="7"/>
    </row>
    <row r="875" spans="3:3" ht="30" customHeight="1" x14ac:dyDescent="0.3">
      <c r="C875" s="7"/>
    </row>
    <row r="876" spans="3:3" ht="30" customHeight="1" x14ac:dyDescent="0.3">
      <c r="C876" s="7"/>
    </row>
    <row r="877" spans="3:3" ht="30" customHeight="1" x14ac:dyDescent="0.3">
      <c r="C877" s="7"/>
    </row>
    <row r="878" spans="3:3" ht="30" customHeight="1" x14ac:dyDescent="0.3">
      <c r="C878" s="7"/>
    </row>
    <row r="879" spans="3:3" ht="30" customHeight="1" x14ac:dyDescent="0.3">
      <c r="C879" s="7"/>
    </row>
    <row r="880" spans="3:3" ht="30" customHeight="1" x14ac:dyDescent="0.3">
      <c r="C880" s="7"/>
    </row>
    <row r="881" spans="3:3" ht="30" customHeight="1" x14ac:dyDescent="0.3">
      <c r="C881" s="7"/>
    </row>
    <row r="882" spans="3:3" ht="30" customHeight="1" x14ac:dyDescent="0.3">
      <c r="C882" s="7"/>
    </row>
    <row r="883" spans="3:3" ht="30" customHeight="1" x14ac:dyDescent="0.3">
      <c r="C883" s="7"/>
    </row>
    <row r="884" spans="3:3" ht="30" customHeight="1" x14ac:dyDescent="0.3">
      <c r="C884" s="7"/>
    </row>
    <row r="885" spans="3:3" ht="30" customHeight="1" x14ac:dyDescent="0.3">
      <c r="C885" s="7"/>
    </row>
    <row r="886" spans="3:3" ht="30" customHeight="1" x14ac:dyDescent="0.3">
      <c r="C886" s="7"/>
    </row>
    <row r="887" spans="3:3" ht="30" customHeight="1" x14ac:dyDescent="0.3">
      <c r="C887" s="7"/>
    </row>
    <row r="888" spans="3:3" ht="30" customHeight="1" x14ac:dyDescent="0.3">
      <c r="C888" s="7"/>
    </row>
    <row r="889" spans="3:3" ht="30" customHeight="1" x14ac:dyDescent="0.3">
      <c r="C889" s="7"/>
    </row>
    <row r="890" spans="3:3" ht="30" customHeight="1" x14ac:dyDescent="0.3">
      <c r="C890" s="7"/>
    </row>
    <row r="891" spans="3:3" ht="30" customHeight="1" x14ac:dyDescent="0.3">
      <c r="C891" s="7"/>
    </row>
    <row r="892" spans="3:3" ht="30" customHeight="1" x14ac:dyDescent="0.3">
      <c r="C892" s="7"/>
    </row>
    <row r="893" spans="3:3" ht="30" customHeight="1" x14ac:dyDescent="0.3">
      <c r="C893" s="7"/>
    </row>
    <row r="894" spans="3:3" ht="30" customHeight="1" x14ac:dyDescent="0.3">
      <c r="C894" s="7"/>
    </row>
    <row r="895" spans="3:3" ht="30" customHeight="1" x14ac:dyDescent="0.3">
      <c r="C895" s="7"/>
    </row>
    <row r="896" spans="3:3" ht="30" customHeight="1" x14ac:dyDescent="0.3">
      <c r="C896" s="7"/>
    </row>
    <row r="897" spans="3:3" ht="30" customHeight="1" x14ac:dyDescent="0.3">
      <c r="C897" s="7"/>
    </row>
    <row r="898" spans="3:3" ht="30" customHeight="1" x14ac:dyDescent="0.3">
      <c r="C898" s="7"/>
    </row>
    <row r="899" spans="3:3" ht="30" customHeight="1" x14ac:dyDescent="0.3">
      <c r="C899" s="7"/>
    </row>
    <row r="900" spans="3:3" ht="30" customHeight="1" x14ac:dyDescent="0.3">
      <c r="C900" s="7"/>
    </row>
    <row r="901" spans="3:3" ht="30" customHeight="1" x14ac:dyDescent="0.3">
      <c r="C901" s="7"/>
    </row>
    <row r="902" spans="3:3" ht="30" customHeight="1" x14ac:dyDescent="0.3">
      <c r="C902" s="7"/>
    </row>
    <row r="903" spans="3:3" ht="30" customHeight="1" x14ac:dyDescent="0.3">
      <c r="C903" s="7"/>
    </row>
    <row r="904" spans="3:3" ht="30" customHeight="1" x14ac:dyDescent="0.3">
      <c r="C904" s="7"/>
    </row>
    <row r="905" spans="3:3" ht="30" customHeight="1" x14ac:dyDescent="0.3">
      <c r="C905" s="7"/>
    </row>
    <row r="906" spans="3:3" ht="30" customHeight="1" x14ac:dyDescent="0.3">
      <c r="C906" s="7"/>
    </row>
    <row r="907" spans="3:3" ht="30" customHeight="1" x14ac:dyDescent="0.3">
      <c r="C907" s="7"/>
    </row>
    <row r="908" spans="3:3" ht="30" customHeight="1" x14ac:dyDescent="0.3">
      <c r="C908" s="7"/>
    </row>
    <row r="909" spans="3:3" ht="30" customHeight="1" x14ac:dyDescent="0.3">
      <c r="C909" s="7"/>
    </row>
    <row r="910" spans="3:3" ht="30" customHeight="1" x14ac:dyDescent="0.3">
      <c r="C910" s="7"/>
    </row>
    <row r="911" spans="3:3" ht="30" customHeight="1" x14ac:dyDescent="0.3">
      <c r="C911" s="7"/>
    </row>
    <row r="912" spans="3:3" ht="30" customHeight="1" x14ac:dyDescent="0.3">
      <c r="C912" s="7"/>
    </row>
    <row r="913" spans="3:3" ht="30" customHeight="1" x14ac:dyDescent="0.3">
      <c r="C913" s="7"/>
    </row>
    <row r="914" spans="3:3" ht="30" customHeight="1" x14ac:dyDescent="0.3">
      <c r="C914" s="7"/>
    </row>
    <row r="915" spans="3:3" ht="30" customHeight="1" x14ac:dyDescent="0.3">
      <c r="C915" s="7"/>
    </row>
    <row r="916" spans="3:3" ht="30" customHeight="1" x14ac:dyDescent="0.3">
      <c r="C916" s="7"/>
    </row>
    <row r="917" spans="3:3" ht="30" customHeight="1" x14ac:dyDescent="0.3">
      <c r="C917" s="7"/>
    </row>
    <row r="918" spans="3:3" ht="30" customHeight="1" x14ac:dyDescent="0.3">
      <c r="C918" s="7"/>
    </row>
    <row r="919" spans="3:3" ht="30" customHeight="1" x14ac:dyDescent="0.3">
      <c r="C919" s="7"/>
    </row>
    <row r="920" spans="3:3" ht="30" customHeight="1" x14ac:dyDescent="0.3">
      <c r="C920" s="7"/>
    </row>
    <row r="921" spans="3:3" ht="30" customHeight="1" x14ac:dyDescent="0.3">
      <c r="C921" s="7"/>
    </row>
    <row r="922" spans="3:3" ht="30" customHeight="1" x14ac:dyDescent="0.3">
      <c r="C922" s="7"/>
    </row>
    <row r="923" spans="3:3" ht="30" customHeight="1" x14ac:dyDescent="0.3">
      <c r="C923" s="7"/>
    </row>
    <row r="924" spans="3:3" ht="30" customHeight="1" x14ac:dyDescent="0.3">
      <c r="C924" s="7"/>
    </row>
    <row r="925" spans="3:3" ht="30" customHeight="1" x14ac:dyDescent="0.3">
      <c r="C925" s="7"/>
    </row>
    <row r="926" spans="3:3" ht="30" customHeight="1" x14ac:dyDescent="0.3">
      <c r="C926" s="7"/>
    </row>
    <row r="927" spans="3:3" ht="30" customHeight="1" x14ac:dyDescent="0.3">
      <c r="C927" s="7"/>
    </row>
    <row r="928" spans="3:3" ht="30" customHeight="1" x14ac:dyDescent="0.3">
      <c r="C928" s="7"/>
    </row>
    <row r="929" spans="3:3" ht="30" customHeight="1" x14ac:dyDescent="0.3">
      <c r="C929" s="7"/>
    </row>
    <row r="930" spans="3:3" ht="30" customHeight="1" x14ac:dyDescent="0.3">
      <c r="C930" s="7"/>
    </row>
    <row r="931" spans="3:3" ht="30" customHeight="1" x14ac:dyDescent="0.3">
      <c r="C931" s="7"/>
    </row>
    <row r="932" spans="3:3" ht="30" customHeight="1" x14ac:dyDescent="0.3">
      <c r="C932" s="7"/>
    </row>
    <row r="933" spans="3:3" ht="30" customHeight="1" x14ac:dyDescent="0.3">
      <c r="C933" s="7"/>
    </row>
    <row r="934" spans="3:3" ht="30" customHeight="1" x14ac:dyDescent="0.3">
      <c r="C934" s="7"/>
    </row>
    <row r="935" spans="3:3" ht="30" customHeight="1" x14ac:dyDescent="0.3">
      <c r="C935" s="7"/>
    </row>
    <row r="936" spans="3:3" ht="30" customHeight="1" x14ac:dyDescent="0.3">
      <c r="C936" s="7"/>
    </row>
    <row r="937" spans="3:3" ht="30" customHeight="1" x14ac:dyDescent="0.3">
      <c r="C937" s="7"/>
    </row>
    <row r="938" spans="3:3" ht="30" customHeight="1" x14ac:dyDescent="0.3">
      <c r="C938" s="7"/>
    </row>
    <row r="939" spans="3:3" ht="30" customHeight="1" x14ac:dyDescent="0.3">
      <c r="C939" s="7"/>
    </row>
    <row r="940" spans="3:3" ht="30" customHeight="1" x14ac:dyDescent="0.3">
      <c r="C940" s="7"/>
    </row>
    <row r="941" spans="3:3" ht="30" customHeight="1" x14ac:dyDescent="0.3">
      <c r="C941" s="7"/>
    </row>
    <row r="942" spans="3:3" ht="30" customHeight="1" x14ac:dyDescent="0.3">
      <c r="C942" s="7"/>
    </row>
    <row r="943" spans="3:3" ht="30" customHeight="1" x14ac:dyDescent="0.3">
      <c r="C943" s="7"/>
    </row>
    <row r="944" spans="3:3" ht="30" customHeight="1" x14ac:dyDescent="0.3">
      <c r="C944" s="7"/>
    </row>
    <row r="945" spans="3:3" ht="30" customHeight="1" x14ac:dyDescent="0.3">
      <c r="C945" s="7"/>
    </row>
    <row r="946" spans="3:3" ht="30" customHeight="1" x14ac:dyDescent="0.3">
      <c r="C946" s="7"/>
    </row>
    <row r="947" spans="3:3" ht="30" customHeight="1" x14ac:dyDescent="0.3">
      <c r="C947" s="7"/>
    </row>
    <row r="948" spans="3:3" ht="30" customHeight="1" x14ac:dyDescent="0.3">
      <c r="C948" s="7"/>
    </row>
    <row r="949" spans="3:3" ht="30" customHeight="1" x14ac:dyDescent="0.3">
      <c r="C949" s="7"/>
    </row>
    <row r="950" spans="3:3" ht="30" customHeight="1" x14ac:dyDescent="0.3">
      <c r="C950" s="7"/>
    </row>
    <row r="951" spans="3:3" ht="30" customHeight="1" x14ac:dyDescent="0.3">
      <c r="C951" s="7"/>
    </row>
    <row r="952" spans="3:3" ht="30" customHeight="1" x14ac:dyDescent="0.3">
      <c r="C952" s="7"/>
    </row>
    <row r="953" spans="3:3" ht="30" customHeight="1" x14ac:dyDescent="0.3">
      <c r="C953" s="7"/>
    </row>
    <row r="954" spans="3:3" ht="30" customHeight="1" x14ac:dyDescent="0.3">
      <c r="C954" s="7"/>
    </row>
    <row r="955" spans="3:3" ht="30" customHeight="1" x14ac:dyDescent="0.3">
      <c r="C955" s="7"/>
    </row>
    <row r="956" spans="3:3" ht="30" customHeight="1" x14ac:dyDescent="0.3">
      <c r="C956" s="7"/>
    </row>
    <row r="957" spans="3:3" ht="30" customHeight="1" x14ac:dyDescent="0.3">
      <c r="C957" s="7"/>
    </row>
    <row r="958" spans="3:3" ht="30" customHeight="1" x14ac:dyDescent="0.3">
      <c r="C958" s="7"/>
    </row>
    <row r="959" spans="3:3" ht="30" customHeight="1" x14ac:dyDescent="0.3">
      <c r="C959" s="7"/>
    </row>
    <row r="960" spans="3:3" ht="30" customHeight="1" x14ac:dyDescent="0.3">
      <c r="C960" s="7"/>
    </row>
    <row r="961" spans="3:3" ht="30" customHeight="1" x14ac:dyDescent="0.3">
      <c r="C961" s="7"/>
    </row>
    <row r="962" spans="3:3" ht="30" customHeight="1" x14ac:dyDescent="0.3">
      <c r="C962" s="7"/>
    </row>
    <row r="963" spans="3:3" ht="30" customHeight="1" x14ac:dyDescent="0.3">
      <c r="C963" s="7"/>
    </row>
    <row r="964" spans="3:3" ht="30" customHeight="1" x14ac:dyDescent="0.3">
      <c r="C964" s="7"/>
    </row>
    <row r="965" spans="3:3" ht="30" customHeight="1" x14ac:dyDescent="0.3">
      <c r="C965" s="7"/>
    </row>
    <row r="966" spans="3:3" ht="30" customHeight="1" x14ac:dyDescent="0.3">
      <c r="C966" s="7"/>
    </row>
    <row r="967" spans="3:3" ht="30" customHeight="1" x14ac:dyDescent="0.3">
      <c r="C967" s="7"/>
    </row>
    <row r="968" spans="3:3" ht="30" customHeight="1" x14ac:dyDescent="0.3">
      <c r="C968" s="7"/>
    </row>
    <row r="969" spans="3:3" ht="30" customHeight="1" x14ac:dyDescent="0.3">
      <c r="C969" s="7"/>
    </row>
    <row r="970" spans="3:3" ht="30" customHeight="1" x14ac:dyDescent="0.3">
      <c r="C970" s="7"/>
    </row>
    <row r="971" spans="3:3" ht="30" customHeight="1" x14ac:dyDescent="0.3">
      <c r="C971" s="7"/>
    </row>
    <row r="972" spans="3:3" ht="30" customHeight="1" x14ac:dyDescent="0.3">
      <c r="C972" s="7"/>
    </row>
    <row r="973" spans="3:3" ht="30" customHeight="1" x14ac:dyDescent="0.3">
      <c r="C973" s="7"/>
    </row>
    <row r="974" spans="3:3" ht="30" customHeight="1" x14ac:dyDescent="0.3">
      <c r="C974" s="7"/>
    </row>
    <row r="975" spans="3:3" ht="30" customHeight="1" x14ac:dyDescent="0.3">
      <c r="C975" s="7"/>
    </row>
    <row r="976" spans="3:3" ht="30" customHeight="1" x14ac:dyDescent="0.3">
      <c r="C976" s="7"/>
    </row>
    <row r="977" spans="3:3" ht="30" customHeight="1" x14ac:dyDescent="0.3">
      <c r="C977" s="7"/>
    </row>
    <row r="978" spans="3:3" ht="30" customHeight="1" x14ac:dyDescent="0.3">
      <c r="C978" s="7"/>
    </row>
    <row r="979" spans="3:3" ht="30" customHeight="1" x14ac:dyDescent="0.3">
      <c r="C979" s="7"/>
    </row>
    <row r="980" spans="3:3" ht="30" customHeight="1" x14ac:dyDescent="0.3">
      <c r="C980" s="7"/>
    </row>
    <row r="981" spans="3:3" ht="30" customHeight="1" x14ac:dyDescent="0.3">
      <c r="C981" s="7"/>
    </row>
    <row r="982" spans="3:3" ht="30" customHeight="1" x14ac:dyDescent="0.3">
      <c r="C982" s="7"/>
    </row>
    <row r="983" spans="3:3" ht="30" customHeight="1" x14ac:dyDescent="0.3">
      <c r="C983" s="7"/>
    </row>
    <row r="984" spans="3:3" ht="30" customHeight="1" x14ac:dyDescent="0.3">
      <c r="C984" s="7"/>
    </row>
    <row r="985" spans="3:3" ht="30" customHeight="1" x14ac:dyDescent="0.3">
      <c r="C985" s="7"/>
    </row>
    <row r="986" spans="3:3" ht="30" customHeight="1" x14ac:dyDescent="0.3">
      <c r="C986" s="7"/>
    </row>
    <row r="987" spans="3:3" ht="30" customHeight="1" x14ac:dyDescent="0.3">
      <c r="C987" s="7"/>
    </row>
    <row r="988" spans="3:3" ht="30" customHeight="1" x14ac:dyDescent="0.3">
      <c r="C988" s="7"/>
    </row>
    <row r="989" spans="3:3" ht="30" customHeight="1" x14ac:dyDescent="0.3">
      <c r="C989" s="7"/>
    </row>
    <row r="990" spans="3:3" ht="30" customHeight="1" x14ac:dyDescent="0.3">
      <c r="C990" s="7"/>
    </row>
    <row r="991" spans="3:3" ht="30" customHeight="1" x14ac:dyDescent="0.3">
      <c r="C991" s="7"/>
    </row>
    <row r="992" spans="3:3" ht="30" customHeight="1" x14ac:dyDescent="0.3">
      <c r="C992" s="7"/>
    </row>
    <row r="993" spans="3:3" ht="30" customHeight="1" x14ac:dyDescent="0.3">
      <c r="C993" s="7"/>
    </row>
    <row r="994" spans="3:3" ht="30" customHeight="1" x14ac:dyDescent="0.3">
      <c r="C994" s="7"/>
    </row>
    <row r="995" spans="3:3" ht="30" customHeight="1" x14ac:dyDescent="0.3">
      <c r="C995" s="7"/>
    </row>
    <row r="996" spans="3:3" ht="30" customHeight="1" x14ac:dyDescent="0.3">
      <c r="C996" s="7"/>
    </row>
  </sheetData>
  <mergeCells count="20">
    <mergeCell ref="CT4:CZ4"/>
    <mergeCell ref="DA4:DG4"/>
    <mergeCell ref="DH4:DN4"/>
    <mergeCell ref="DO4:DU4"/>
    <mergeCell ref="EC4:EI4"/>
    <mergeCell ref="DV4:EB4"/>
    <mergeCell ref="CF4:CL4"/>
    <mergeCell ref="AI4:AO4"/>
    <mergeCell ref="AP4:AV4"/>
    <mergeCell ref="CM4:CS4"/>
    <mergeCell ref="C3:D3"/>
    <mergeCell ref="G4:M4"/>
    <mergeCell ref="N4:T4"/>
    <mergeCell ref="U4:AA4"/>
    <mergeCell ref="AB4:AH4"/>
    <mergeCell ref="AW4:BC4"/>
    <mergeCell ref="BD4:BJ4"/>
    <mergeCell ref="BK4:BQ4"/>
    <mergeCell ref="BR4:BX4"/>
    <mergeCell ref="BY4:CE4"/>
  </mergeCells>
  <conditionalFormatting sqref="G8:EI47">
    <cfRule type="expression" dxfId="1" priority="1">
      <formula>AND(ISNUMBER(G$5),ISNUMBER($C8),ISNUMBER($D8),ISNUMBER($B8),G$5&gt;=$C8,G$5&lt;=$D8,G$5-$C8+1&lt;=ROUNDUP(($D8-$C8+1)*MAX(0,MIN(1,IF($B8&gt;1,$B8/100,$B8))),0))</formula>
    </cfRule>
    <cfRule type="expression" dxfId="0" priority="2">
      <formula>AND(ISNUMBER(G$5),ISNUMBER($C8),ISNUMBER($D8),G$5&gt;=$C8,G$5&lt;=$D8)</formula>
    </cfRule>
  </conditionalFormatting>
  <dataValidations count="1">
    <dataValidation type="decimal" operator="greaterThanOrEqual" allowBlank="1" showInputMessage="1" prompt="Mostrar semana - Al cambiar este número, se desplazará la vista del diagrama de Gantt." sqref="C4" xr:uid="{00000000-0002-0000-0000-000000000000}">
      <formula1>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/>
  </sheetViews>
  <sheetFormatPr baseColWidth="10" defaultColWidth="8.88671875" defaultRowHeight="14.4" x14ac:dyDescent="0.3"/>
  <cols>
    <col min="1" max="1" width="15" customWidth="1"/>
    <col min="2" max="2" width="17" customWidth="1"/>
    <col min="3" max="3" width="19" customWidth="1"/>
    <col min="4" max="4" width="15" customWidth="1"/>
    <col min="5" max="5" width="24" customWidth="1"/>
    <col min="6" max="6" width="55" customWidth="1"/>
  </cols>
  <sheetData>
    <row r="1" spans="1:6" ht="21.75" customHeight="1" x14ac:dyDescent="0.4">
      <c r="A1" s="94" t="s">
        <v>111</v>
      </c>
      <c r="B1" s="94"/>
      <c r="C1" s="94"/>
      <c r="D1" s="94"/>
      <c r="E1" s="94"/>
      <c r="F1" s="94"/>
    </row>
    <row r="3" spans="1:6" x14ac:dyDescent="0.3">
      <c r="A3" s="76" t="s">
        <v>63</v>
      </c>
      <c r="B3" s="76" t="s">
        <v>64</v>
      </c>
      <c r="C3" s="76" t="s">
        <v>112</v>
      </c>
      <c r="D3" s="76" t="s">
        <v>65</v>
      </c>
      <c r="E3" s="76" t="s">
        <v>66</v>
      </c>
      <c r="F3" s="76" t="s">
        <v>67</v>
      </c>
    </row>
    <row r="4" spans="1:6" ht="19.2" customHeight="1" x14ac:dyDescent="0.3">
      <c r="A4" s="77" t="s">
        <v>68</v>
      </c>
      <c r="B4" s="77" t="s">
        <v>69</v>
      </c>
      <c r="C4" s="77" t="s">
        <v>70</v>
      </c>
      <c r="D4" s="77" t="s">
        <v>71</v>
      </c>
      <c r="E4" s="77" t="s">
        <v>113</v>
      </c>
      <c r="F4" s="77" t="s">
        <v>72</v>
      </c>
    </row>
    <row r="5" spans="1:6" ht="19.2" customHeight="1" x14ac:dyDescent="0.3">
      <c r="A5" s="77" t="s">
        <v>73</v>
      </c>
      <c r="B5" s="77" t="s">
        <v>69</v>
      </c>
      <c r="C5" s="77" t="s">
        <v>70</v>
      </c>
      <c r="D5" s="77" t="s">
        <v>71</v>
      </c>
      <c r="E5" s="77" t="s">
        <v>74</v>
      </c>
      <c r="F5" s="77" t="s">
        <v>72</v>
      </c>
    </row>
    <row r="6" spans="1:6" ht="19.2" customHeight="1" x14ac:dyDescent="0.3">
      <c r="A6" s="77" t="s">
        <v>75</v>
      </c>
      <c r="B6" s="77" t="s">
        <v>76</v>
      </c>
      <c r="C6" s="77" t="s">
        <v>77</v>
      </c>
      <c r="D6" s="77" t="s">
        <v>71</v>
      </c>
      <c r="E6" s="77" t="s">
        <v>78</v>
      </c>
      <c r="F6" s="77" t="s">
        <v>79</v>
      </c>
    </row>
    <row r="7" spans="1:6" ht="19.2" customHeight="1" x14ac:dyDescent="0.3">
      <c r="A7" s="77" t="s">
        <v>80</v>
      </c>
      <c r="B7" s="77" t="s">
        <v>81</v>
      </c>
      <c r="C7" s="77" t="s">
        <v>77</v>
      </c>
      <c r="D7" s="77" t="s">
        <v>71</v>
      </c>
      <c r="E7" s="77" t="s">
        <v>82</v>
      </c>
      <c r="F7" s="77" t="s">
        <v>79</v>
      </c>
    </row>
    <row r="8" spans="1:6" ht="19.2" customHeight="1" x14ac:dyDescent="0.3">
      <c r="A8" s="77" t="s">
        <v>83</v>
      </c>
      <c r="B8" s="77" t="s">
        <v>69</v>
      </c>
      <c r="C8" s="77" t="s">
        <v>70</v>
      </c>
      <c r="D8" s="77" t="s">
        <v>71</v>
      </c>
      <c r="E8" s="77" t="s">
        <v>84</v>
      </c>
      <c r="F8" s="77" t="s">
        <v>72</v>
      </c>
    </row>
    <row r="9" spans="1:6" ht="19.2" customHeight="1" x14ac:dyDescent="0.3">
      <c r="A9" s="77" t="s">
        <v>85</v>
      </c>
      <c r="B9" s="77" t="s">
        <v>81</v>
      </c>
      <c r="C9" s="77" t="s">
        <v>70</v>
      </c>
      <c r="D9" s="77" t="s">
        <v>71</v>
      </c>
      <c r="E9" s="77" t="s">
        <v>86</v>
      </c>
      <c r="F9" s="77" t="s">
        <v>72</v>
      </c>
    </row>
    <row r="10" spans="1:6" ht="19.2" customHeight="1" x14ac:dyDescent="0.3">
      <c r="A10" s="77" t="s">
        <v>87</v>
      </c>
      <c r="B10" s="77" t="s">
        <v>69</v>
      </c>
      <c r="C10" s="77" t="s">
        <v>70</v>
      </c>
      <c r="D10" s="77" t="s">
        <v>71</v>
      </c>
      <c r="E10" s="77" t="s">
        <v>88</v>
      </c>
      <c r="F10" s="77" t="s">
        <v>72</v>
      </c>
    </row>
    <row r="11" spans="1:6" ht="19.2" customHeight="1" x14ac:dyDescent="0.3">
      <c r="A11" s="77" t="s">
        <v>89</v>
      </c>
      <c r="B11" s="77" t="s">
        <v>69</v>
      </c>
      <c r="C11" s="77" t="s">
        <v>70</v>
      </c>
      <c r="D11" s="77" t="s">
        <v>71</v>
      </c>
      <c r="E11" s="77" t="s">
        <v>90</v>
      </c>
      <c r="F11" s="77" t="s">
        <v>72</v>
      </c>
    </row>
    <row r="12" spans="1:6" ht="19.2" customHeight="1" x14ac:dyDescent="0.3">
      <c r="A12" s="77" t="s">
        <v>91</v>
      </c>
      <c r="B12" s="77" t="s">
        <v>69</v>
      </c>
      <c r="C12" s="77" t="s">
        <v>70</v>
      </c>
      <c r="D12" s="77" t="s">
        <v>71</v>
      </c>
      <c r="E12" s="77" t="s">
        <v>92</v>
      </c>
      <c r="F12" s="77" t="s">
        <v>72</v>
      </c>
    </row>
    <row r="13" spans="1:6" ht="19.2" customHeight="1" x14ac:dyDescent="0.3">
      <c r="A13" s="77" t="s">
        <v>93</v>
      </c>
      <c r="B13" s="77" t="s">
        <v>94</v>
      </c>
      <c r="C13" s="77" t="s">
        <v>70</v>
      </c>
      <c r="D13" s="77" t="s">
        <v>71</v>
      </c>
      <c r="E13" s="77" t="s">
        <v>95</v>
      </c>
      <c r="F13" s="77" t="s">
        <v>72</v>
      </c>
    </row>
    <row r="14" spans="1:6" ht="19.2" customHeight="1" x14ac:dyDescent="0.3">
      <c r="A14" s="77" t="s">
        <v>96</v>
      </c>
      <c r="B14" s="77" t="s">
        <v>94</v>
      </c>
      <c r="C14" s="77" t="s">
        <v>70</v>
      </c>
      <c r="D14" s="77" t="s">
        <v>71</v>
      </c>
      <c r="E14" s="77" t="s">
        <v>97</v>
      </c>
      <c r="F14" s="77" t="s">
        <v>72</v>
      </c>
    </row>
    <row r="15" spans="1:6" ht="19.2" customHeight="1" x14ac:dyDescent="0.3">
      <c r="A15" s="77" t="s">
        <v>98</v>
      </c>
      <c r="B15" s="77" t="s">
        <v>94</v>
      </c>
      <c r="C15" s="77" t="s">
        <v>70</v>
      </c>
      <c r="D15" s="77" t="s">
        <v>99</v>
      </c>
      <c r="E15" s="77" t="s">
        <v>100</v>
      </c>
      <c r="F15" s="77" t="s">
        <v>101</v>
      </c>
    </row>
    <row r="16" spans="1:6" ht="19.2" customHeight="1" x14ac:dyDescent="0.3">
      <c r="A16" s="77" t="s">
        <v>102</v>
      </c>
      <c r="B16" s="77" t="s">
        <v>94</v>
      </c>
      <c r="C16" s="77" t="s">
        <v>70</v>
      </c>
      <c r="D16" s="77" t="s">
        <v>99</v>
      </c>
      <c r="E16" s="77" t="s">
        <v>100</v>
      </c>
      <c r="F16" s="77" t="s">
        <v>101</v>
      </c>
    </row>
    <row r="17" spans="1:6" ht="19.2" customHeight="1" x14ac:dyDescent="0.3">
      <c r="A17" s="77" t="s">
        <v>103</v>
      </c>
      <c r="B17" s="77" t="s">
        <v>94</v>
      </c>
      <c r="C17" s="77" t="s">
        <v>70</v>
      </c>
      <c r="D17" s="77" t="s">
        <v>99</v>
      </c>
      <c r="E17" s="77" t="s">
        <v>100</v>
      </c>
      <c r="F17" s="77" t="s">
        <v>101</v>
      </c>
    </row>
    <row r="18" spans="1:6" ht="19.2" customHeight="1" x14ac:dyDescent="0.3">
      <c r="A18" s="77" t="s">
        <v>104</v>
      </c>
      <c r="B18" s="77" t="s">
        <v>94</v>
      </c>
      <c r="C18" s="77" t="s">
        <v>70</v>
      </c>
      <c r="D18" s="77" t="s">
        <v>105</v>
      </c>
      <c r="E18" s="77" t="s">
        <v>106</v>
      </c>
      <c r="F18" s="77" t="s">
        <v>101</v>
      </c>
    </row>
    <row r="20" spans="1:6" ht="21.75" customHeight="1" x14ac:dyDescent="0.3">
      <c r="A20" s="95" t="s">
        <v>107</v>
      </c>
      <c r="B20" s="95"/>
      <c r="C20" s="95"/>
      <c r="D20" s="95"/>
      <c r="E20" s="95"/>
      <c r="F20" s="95"/>
    </row>
  </sheetData>
  <mergeCells count="2">
    <mergeCell ref="A1:F1"/>
    <mergeCell ref="A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5</vt:i4>
      </vt:variant>
    </vt:vector>
  </HeadingPairs>
  <TitlesOfParts>
    <vt:vector size="7" baseType="lpstr">
      <vt:lpstr>ProjectSchedule</vt:lpstr>
      <vt:lpstr>Trazabilidad Backlog</vt:lpstr>
      <vt:lpstr>Inicio_del_proyecto</vt:lpstr>
      <vt:lpstr>Semana_para_mostrar</vt:lpstr>
      <vt:lpstr>ProjectSchedule!task_end</vt:lpstr>
      <vt:lpstr>ProjectSchedule!task_progress</vt:lpstr>
      <vt:lpstr>ProjectSchedule!task_start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Mejia</cp:lastModifiedBy>
  <dcterms:modified xsi:type="dcterms:W3CDTF">2026-10-13T22:24:13Z</dcterms:modified>
</cp:coreProperties>
</file>